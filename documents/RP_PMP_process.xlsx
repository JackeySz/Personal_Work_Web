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Default Extension="rels" ContentType="application/vnd.openxmlformats-package.relationships+xml"/>
  <Default Extension="xml" ContentType="application/xml"/>
  <Default Extension="jpeg" ContentType="image/jpeg"/>
  <Default Extension="png" ContentType="image/png"/>
  <Default Extension="gif" ContentType="image/gif"/>
  <Default Extension="tiff" ContentType="image/tiff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总览甘特图" sheetId="2" r:id="rId5"/>
    <sheet name="阶段门与验收" sheetId="3" r:id="rId6"/>
    <sheet name="风险与变更" sheetId="4" r:id="rId7"/>
    <sheet name="会议节奏" sheetId="5" r:id="rId8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<sst xmlns="http://schemas.openxmlformats.org/spreadsheetml/2006/main" count="322" uniqueCount="322">
  <si>
    <t xml:space="preserve">  </t>
  </si>
  <si>
    <t xml:space="preserve">RM备赛产品流程表（按 9月招新 → 8月全国赛 时间线）</t>
  </si>
  <si>
    <t xml:space="preserve">图例</t>
  </si>
  <si>
    <t xml:space="preserve">预立项</t>
  </si>
  <si>
    <t xml:space="preserve">立项</t>
  </si>
  <si>
    <t xml:space="preserve">预研</t>
  </si>
  <si>
    <t xml:space="preserve">样机造车</t>
  </si>
  <si>
    <t xml:space="preserve">联盟赛</t>
  </si>
  <si>
    <t xml:space="preserve">区域赛</t>
  </si>
  <si>
    <t xml:space="preserve">全国赛备战</t>
  </si>
  <si>
    <t xml:space="preserve">赛后复盘</t>
  </si>
  <si>
    <t xml:space="preserve">阶段</t>
  </si>
  <si>
    <t xml:space="preserve">PMP过程组</t>
  </si>
  <si>
    <t xml:space="preserve">产品流程节点/工作包</t>
  </si>
  <si>
    <t xml:space="preserve">责任人</t>
  </si>
  <si>
    <t xml:space="preserve">PMP管理重点</t>
  </si>
  <si>
    <t xml:space="preserve">开始</t>
  </si>
  <si>
    <t xml:space="preserve">结束</t>
  </si>
  <si>
    <t xml:space="preserve">工期(天)</t>
  </si>
  <si>
    <t xml:space="preserve">状态</t>
  </si>
  <si>
    <t xml:space="preserve">验收标准</t>
  </si>
  <si>
    <t xml:space="preserve">启动</t>
  </si>
  <si>
    <t xml:space="preserve">赛季目标假设与队伍规划</t>
  </si>
  <si>
    <t xml:space="preserve">队长/PM</t>
  </si>
  <si>
    <t xml:space="preserve">项目章程、相关方识别</t>
  </si>
  <si>
    <t xml:space="preserve">未开始</t>
  </si>
  <si>
    <t xml:space="preserve">明确参赛目标、机器人类别、核心岗位缺口</t>
  </si>
  <si>
    <t xml:space="preserve">9月招新宣传、面试、录取</t>
  </si>
  <si>
    <t xml:space="preserve">PM/各组负责人</t>
  </si>
  <si>
    <t xml:space="preserve">资源管理、沟通管理</t>
  </si>
  <si>
    <t xml:space="preserve">完成面试评价、录取名单、意向分组</t>
  </si>
  <si>
    <t xml:space="preserve">新队员能力摸底与初步分组</t>
  </si>
  <si>
    <t xml:space="preserve">各组负责人</t>
  </si>
  <si>
    <t xml:space="preserve">资源管理</t>
  </si>
  <si>
    <t xml:space="preserve">每位新队员进入机械/电控/视觉/软件/运营等候选方向</t>
  </si>
  <si>
    <t xml:space="preserve">规划</t>
  </si>
  <si>
    <t xml:space="preserve">10月新队员基础培训</t>
  </si>
  <si>
    <t xml:space="preserve">完成各组任务考核</t>
  </si>
  <si>
    <t xml:space="preserve">老队员技术预研启动</t>
  </si>
  <si>
    <t xml:space="preserve">老队员/技术负责人</t>
  </si>
  <si>
    <t xml:space="preserve">范围管理、风险管理</t>
  </si>
  <si>
    <t xml:space="preserve">形成技术路线备选方案与预研记录</t>
  </si>
  <si>
    <t xml:space="preserve">赛季预算、资源、采购策略规划</t>
  </si>
  <si>
    <t xml:space="preserve">PM/采购/队长</t>
  </si>
  <si>
    <t xml:space="preserve">成本管理、采购管理</t>
  </si>
  <si>
    <t xml:space="preserve">完成预算框架、关键件预选、供应商列表</t>
  </si>
  <si>
    <t xml:space="preserve">项目章程、WBS、RACI、里程碑计划</t>
  </si>
  <si>
    <t xml:space="preserve">PM/队长</t>
  </si>
  <si>
    <t xml:space="preserve">整合管理、进度管理</t>
  </si>
  <si>
    <t xml:space="preserve">立项评审通过，明确做什么、不做什么、谁负责</t>
  </si>
  <si>
    <t xml:space="preserve">规划/执行</t>
  </si>
  <si>
    <t xml:space="preserve">关键技术预研：底盘/轮足、云台、发射、视觉、电控架构</t>
  </si>
  <si>
    <t xml:space="preserve">各技术组</t>
  </si>
  <si>
    <t xml:space="preserve">范围管理、质量管理、风险管理</t>
  </si>
  <si>
    <t xml:space="preserve">每个高风险技术至少完成一次可验证 Demo 或台架测试</t>
  </si>
  <si>
    <t xml:space="preserve">11月赛季新规发布后的规则研读与差异表</t>
  </si>
  <si>
    <t xml:space="preserve">PM/规则负责人</t>
  </si>
  <si>
    <t xml:space="preserve">输出新规差异表、规则风险、合规检查清单</t>
  </si>
  <si>
    <t xml:space="preserve">产品需求基线与总体方案收敛</t>
  </si>
  <si>
    <t xml:space="preserve">PM/队长/各组负责人</t>
  </si>
  <si>
    <t xml:space="preserve">整合管理、范围管理</t>
  </si>
  <si>
    <t xml:space="preserve">形成机器人定位、核心功能、非目标范围、验收指标</t>
  </si>
  <si>
    <t xml:space="preserve">方案评审与方案冻结</t>
  </si>
  <si>
    <t xml:space="preserve">队长/PM/指导老师</t>
  </si>
  <si>
    <t xml:space="preserve">阶段门、变更管理</t>
  </si>
  <si>
    <t xml:space="preserve">通过方案评审，冻结主结构接口、电控架构、视觉安装位</t>
  </si>
  <si>
    <t xml:space="preserve">执行</t>
  </si>
  <si>
    <t xml:space="preserve">11-12月机械详细设计、加工、采购</t>
  </si>
  <si>
    <t xml:space="preserve">机械/采购</t>
  </si>
  <si>
    <t xml:space="preserve">采购管理、进度管理</t>
  </si>
  <si>
    <t xml:space="preserve">完成首版图纸、BOM、加工件到货、关键件采购</t>
  </si>
  <si>
    <t xml:space="preserve">电控架构、线束、通信协议、底层驱动</t>
  </si>
  <si>
    <t xml:space="preserve">电控/软件</t>
  </si>
  <si>
    <t xml:space="preserve">整合管理、质量管理</t>
  </si>
  <si>
    <t xml:space="preserve">完成主链路通信、供电、日志、基础驱动</t>
  </si>
  <si>
    <t xml:space="preserve">视觉数据采集、模型训练、初步联调</t>
  </si>
  <si>
    <t xml:space="preserve">视觉</t>
  </si>
  <si>
    <t xml:space="preserve">质量管理、风险管理</t>
  </si>
  <si>
    <t xml:space="preserve">完成识别基线、延迟指标、数据集版本记录</t>
  </si>
  <si>
    <t xml:space="preserve">样机装配与单模块点亮</t>
  </si>
  <si>
    <t xml:space="preserve">各组/PM</t>
  </si>
  <si>
    <t xml:space="preserve">底盘、云台、发射、视觉、电控各模块单测通过</t>
  </si>
  <si>
    <t xml:space="preserve">监控</t>
  </si>
  <si>
    <t xml:space="preserve">1月期末考试低强度维护与文档整理</t>
  </si>
  <si>
    <t xml:space="preserve">PM/各组</t>
  </si>
  <si>
    <t xml:space="preserve">保持低强度推进，补齐文档、采购、测试脚本</t>
  </si>
  <si>
    <t xml:space="preserve">执行/监控</t>
  </si>
  <si>
    <t xml:space="preserve">考试后继续造车与整车初联调</t>
  </si>
  <si>
    <t xml:space="preserve">各组</t>
  </si>
  <si>
    <t xml:space="preserve">整车能够完成基础移动、云台控制、发射闭环</t>
  </si>
  <si>
    <t xml:space="preserve">春节两周放假：版本冻结、远程复盘、备件清点</t>
  </si>
  <si>
    <t xml:space="preserve">PM/后勤</t>
  </si>
  <si>
    <t xml:space="preserve">资源管理、风险管理</t>
  </si>
  <si>
    <t xml:space="preserve">暂停大改，保留值守和远程问题清单</t>
  </si>
  <si>
    <t xml:space="preserve">返校后二版迭代与可靠性联调</t>
  </si>
  <si>
    <t xml:space="preserve">完成二版结构/电控/视觉升级，稳定性测试达标，进行完整形态考核</t>
  </si>
  <si>
    <t xml:space="preserve">联盟赛版本冻结与检录模拟</t>
  </si>
  <si>
    <t xml:space="preserve">PM/队长/各组</t>
  </si>
  <si>
    <t xml:space="preserve">质量门、风险管理</t>
  </si>
  <si>
    <t xml:space="preserve">版本冻结，完成重量尺寸、裁判系统、安全、备件检查</t>
  </si>
  <si>
    <t xml:space="preserve">4月联盟赛赛前训练、备件、战术演练</t>
  </si>
  <si>
    <t xml:space="preserve">队长/PM/操作手</t>
  </si>
  <si>
    <t xml:space="preserve">质量管理、沟通管理</t>
  </si>
  <si>
    <t xml:space="preserve">完成对抗训练、维修流程、备件清单、版本锁定</t>
  </si>
  <si>
    <t xml:space="preserve">4月联盟赛</t>
  </si>
  <si>
    <t xml:space="preserve">全队</t>
  </si>
  <si>
    <t xml:space="preserve">执行与现场风险管理</t>
  </si>
  <si>
    <t xml:space="preserve">完成参赛记录、故障记录、对抗数据采集</t>
  </si>
  <si>
    <t xml:space="preserve">收尾/规划</t>
  </si>
  <si>
    <t xml:space="preserve">联盟赛后复盘：问题、劣势、需求变更</t>
  </si>
  <si>
    <t xml:space="preserve">经验教训、变更管理</t>
  </si>
  <si>
    <t xml:space="preserve">输出复盘报告、Issue List、下一轮升级需求优先级</t>
  </si>
  <si>
    <t xml:space="preserve">联盟赛后针对性迭代</t>
  </si>
  <si>
    <t xml:space="preserve">范围管理、质量管理</t>
  </si>
  <si>
    <t xml:space="preserve">只做影响区域赛胜率与稳定性的升级</t>
  </si>
  <si>
    <t xml:space="preserve">5月区域赛前测试、版本冻结、战术训练</t>
  </si>
  <si>
    <t xml:space="preserve">队长/PM/各组</t>
  </si>
  <si>
    <t xml:space="preserve">完成区域赛版本冻结、检录模拟、整车可靠性测试</t>
  </si>
  <si>
    <t xml:space="preserve">5月对抗赛区域赛</t>
  </si>
  <si>
    <t xml:space="preserve">执行与现场管理</t>
  </si>
  <si>
    <t xml:space="preserve">完成比赛与现场故障数据采集</t>
  </si>
  <si>
    <t xml:space="preserve">区域赛复盘与规则修订跟踪</t>
  </si>
  <si>
    <t xml:space="preserve">PM/规则负责人/各组</t>
  </si>
  <si>
    <t xml:space="preserve">经验教训、范围管理</t>
  </si>
  <si>
    <t xml:space="preserve">根据复盘劣势与规则修订输出全国赛升级需求</t>
  </si>
  <si>
    <t xml:space="preserve">全国赛升级需求评审与范围锁定</t>
  </si>
  <si>
    <t xml:space="preserve">范围管理、变更管理</t>
  </si>
  <si>
    <t xml:space="preserve">只保留对全国赛收益明确、可验证、可按期完成的升级</t>
  </si>
  <si>
    <t xml:space="preserve">机械/电控/视觉/软件升级迭代</t>
  </si>
  <si>
    <t xml:space="preserve">完成全国赛升级版本，关闭区域赛暴露的关键缺陷</t>
  </si>
  <si>
    <t xml:space="preserve">7月期末考试低强度维护</t>
  </si>
  <si>
    <t xml:space="preserve">7月强化对抗、可靠性、维修演练</t>
  </si>
  <si>
    <t xml:space="preserve">连续对抗测试、压力测试、维修演练通过</t>
  </si>
  <si>
    <t xml:space="preserve">全国赛版本冻结、备件、手册、人训</t>
  </si>
  <si>
    <t xml:space="preserve">PM/后勤/队长</t>
  </si>
  <si>
    <t xml:space="preserve">质量门、资源管理</t>
  </si>
  <si>
    <t xml:space="preserve">不再新增功能，只修P0/P1问题；备件、工具、文档齐全</t>
  </si>
  <si>
    <t xml:space="preserve">8月全国赛</t>
  </si>
  <si>
    <t xml:space="preserve">现场执行、风险响应</t>
  </si>
  <si>
    <t xml:space="preserve">完成全国赛参赛、故障记录、数据归档</t>
  </si>
  <si>
    <t xml:space="preserve">收尾</t>
  </si>
  <si>
    <t xml:space="preserve">全国赛后复盘、文档归档、下一届交接</t>
  </si>
  <si>
    <t xml:space="preserve">收尾管理、组织过程资产</t>
  </si>
  <si>
    <t xml:space="preserve">输出最终复盘、技术文档、BOM、代码版本、培训材料</t>
  </si>
  <si>
    <t xml:space="preserve">阶段门</t>
  </si>
  <si>
    <t xml:space="preserve">名称</t>
  </si>
  <si>
    <t xml:space="preserve">时间</t>
  </si>
  <si>
    <t xml:space="preserve">通过标准</t>
  </si>
  <si>
    <t xml:space="preserve">管理动作</t>
  </si>
  <si>
    <t xml:space="preserve">M0</t>
  </si>
  <si>
    <t xml:space="preserve">预立项出口</t>
  </si>
  <si>
    <t xml:space="preserve">9月底</t>
  </si>
  <si>
    <t xml:space="preserve">招新完成；候选分组完成；核心岗位缺口明确</t>
  </si>
  <si>
    <t xml:space="preserve">决定是否补招/调整分组</t>
  </si>
  <si>
    <t xml:space="preserve">M1</t>
  </si>
  <si>
    <t xml:space="preserve">立项评审</t>
  </si>
  <si>
    <t xml:space="preserve">11月上旬</t>
  </si>
  <si>
    <t xml:space="preserve">项目章程、WBS、RACI、预算框架、里程碑计划完成</t>
  </si>
  <si>
    <t xml:space="preserve">批准进入预研/方案阶段</t>
  </si>
  <si>
    <t xml:space="preserve">M2</t>
  </si>
  <si>
    <t xml:space="preserve">方案冻结</t>
  </si>
  <si>
    <t xml:space="preserve">11月底</t>
  </si>
  <si>
    <t xml:space="preserve">新规差异表完成；产品需求基线完成；关键方案和接口冻结</t>
  </si>
  <si>
    <t xml:space="preserve">大改必须走变更流程</t>
  </si>
  <si>
    <t xml:space="preserve">M3</t>
  </si>
  <si>
    <t xml:space="preserve">Alpha样机评审</t>
  </si>
  <si>
    <t xml:space="preserve">12月底</t>
  </si>
  <si>
    <t xml:space="preserve">首版装配/单模块点亮；基础驱动和通信跑通</t>
  </si>
  <si>
    <t xml:space="preserve">判断寒假前后联调重点</t>
  </si>
  <si>
    <t xml:space="preserve">M4</t>
  </si>
  <si>
    <t xml:space="preserve">联盟赛版本冻结</t>
  </si>
  <si>
    <t xml:space="preserve">3月底</t>
  </si>
  <si>
    <t xml:space="preserve">检录模拟通过；整车稳定性达到最低参赛线；备件清单齐全</t>
  </si>
  <si>
    <t xml:space="preserve">4月联盟赛只修P0/P1问题</t>
  </si>
  <si>
    <t xml:space="preserve">M5</t>
  </si>
  <si>
    <t xml:space="preserve">联盟赛复盘</t>
  </si>
  <si>
    <t xml:space="preserve">4月底</t>
  </si>
  <si>
    <t xml:space="preserve">比赛故障、技术短板、战术劣势、需求变更完成排序</t>
  </si>
  <si>
    <t xml:space="preserve">批准区域赛前迭代范围</t>
  </si>
  <si>
    <t xml:space="preserve">M6</t>
  </si>
  <si>
    <t xml:space="preserve">区域赛复盘</t>
  </si>
  <si>
    <t xml:space="preserve">五月底</t>
  </si>
  <si>
    <t xml:space="preserve">区域赛数据复盘；规则修订跟踪；全国赛升级需求明确</t>
  </si>
  <si>
    <t xml:space="preserve">批准全国赛升级范围</t>
  </si>
  <si>
    <t xml:space="preserve">M7</t>
  </si>
  <si>
    <t xml:space="preserve">全国赛版本冻结</t>
  </si>
  <si>
    <t xml:space="preserve">7月底</t>
  </si>
  <si>
    <t xml:space="preserve">可靠性、备件、维修手册、操作训练全部达标</t>
  </si>
  <si>
    <t xml:space="preserve">禁止新增非必要功能</t>
  </si>
  <si>
    <t xml:space="preserve">M8</t>
  </si>
  <si>
    <t xml:space="preserve">赛季收尾</t>
  </si>
  <si>
    <t xml:space="preserve">8月底</t>
  </si>
  <si>
    <t xml:space="preserve">代码、图纸、BOM、测试报告、复盘文档归档</t>
  </si>
  <si>
    <t xml:space="preserve">交接给下一届</t>
  </si>
  <si>
    <t xml:space="preserve">ID</t>
  </si>
  <si>
    <t xml:space="preserve">类别</t>
  </si>
  <si>
    <t xml:space="preserve">风险描述</t>
  </si>
  <si>
    <t xml:space="preserve">高发阶段</t>
  </si>
  <si>
    <t xml:space="preserve">负责人</t>
  </si>
  <si>
    <t xml:space="preserve">预防措施</t>
  </si>
  <si>
    <t xml:space="preserve">备用方案</t>
  </si>
  <si>
    <t xml:space="preserve">状态</t>
  </si>
  <si>
    <t xml:space="preserve">R01</t>
  </si>
  <si>
    <t xml:space="preserve">规则风险</t>
  </si>
  <si>
    <t xml:space="preserve">11月新规或后续修订导致结构、裁判系统安装、功率/尺寸/重量设计变更</t>
  </si>
  <si>
    <t xml:space="preserve">预研/样机/赛前</t>
  </si>
  <si>
    <t xml:space="preserve">PM/规则负责人</t>
  </si>
  <si>
    <t xml:space="preserve">每次规则更新做差异表；设计冻结前做合规审查</t>
  </si>
  <si>
    <t xml:space="preserve">预留重量、安装空间、电气接口余量</t>
  </si>
  <si>
    <t xml:space="preserve">跟踪</t>
  </si>
  <si>
    <t xml:space="preserve">R02</t>
  </si>
  <si>
    <t xml:space="preserve">人员风险</t>
  </si>
  <si>
    <t xml:space="preserve">1月期末考试和春节导致关键开发中断</t>
  </si>
  <si>
    <t xml:space="preserve">1-2月</t>
  </si>
  <si>
    <t xml:space="preserve">PM/各组负责人</t>
  </si>
  <si>
    <t xml:space="preserve">考试前冻结可交付目标；春节前列清远程任务和待办</t>
  </si>
  <si>
    <t xml:space="preserve">关键任务双人备份，降低单点依赖</t>
  </si>
  <si>
    <t xml:space="preserve">R03</t>
  </si>
  <si>
    <t xml:space="preserve">进度风险</t>
  </si>
  <si>
    <t xml:space="preserve">11-12月造车延期压缩整车联调时间</t>
  </si>
  <si>
    <t xml:space="preserve">样机造车</t>
  </si>
  <si>
    <t xml:space="preserve">PM/队长</t>
  </si>
  <si>
    <t xml:space="preserve">关键路径周跟踪；延期超过3天升级；砍Could功能</t>
  </si>
  <si>
    <t xml:space="preserve">保底版本优先通过联盟赛</t>
  </si>
  <si>
    <t xml:space="preserve">R04</t>
  </si>
  <si>
    <t xml:space="preserve">供应链风险</t>
  </si>
  <si>
    <t xml:space="preserve">加工件、电机、板卡、相机等关键件延期</t>
  </si>
  <si>
    <t xml:space="preserve">样机/迭代</t>
  </si>
  <si>
    <t xml:space="preserve">采购/各组</t>
  </si>
  <si>
    <t xml:space="preserve">关键件预采购；双供应商；加工件分批下单</t>
  </si>
  <si>
    <t xml:space="preserve">旧版件或通用件替代</t>
  </si>
  <si>
    <t xml:space="preserve">R05</t>
  </si>
  <si>
    <t xml:space="preserve">集成风险</t>
  </si>
  <si>
    <t xml:space="preserve">机械、电控、视觉、软件单独可用，整车联调出现通信、走线、干涉问题</t>
  </si>
  <si>
    <t xml:space="preserve">2-4月</t>
  </si>
  <si>
    <t xml:space="preserve">PM/各兵种负责人</t>
  </si>
  <si>
    <t xml:space="preserve">接口冻结；每日联调短会；日志系统强制接入</t>
  </si>
  <si>
    <t xml:space="preserve">限制功能，优先保稳定上场</t>
  </si>
  <si>
    <t xml:space="preserve">R06</t>
  </si>
  <si>
    <t xml:space="preserve">可靠性风险</t>
  </si>
  <si>
    <t xml:space="preserve">联盟赛/区域赛暴露连续对抗故障，影响全国赛升级节奏</t>
  </si>
  <si>
    <t xml:space="preserve">4-8月</t>
  </si>
  <si>
    <t xml:space="preserve">各组</t>
  </si>
  <si>
    <t xml:space="preserve">每次比赛后复盘排序；7月压力测试和维修演练</t>
  </si>
  <si>
    <t xml:space="preserve">冻结高风险升级，只修关键缺陷</t>
  </si>
  <si>
    <t xml:space="preserve">R07</t>
  </si>
  <si>
    <t xml:space="preserve">队员离队导致研发中断</t>
  </si>
  <si>
    <t xml:space="preserve">11月到次年5月</t>
  </si>
  <si>
    <t xml:space="preserve">各组负责人</t>
  </si>
  <si>
    <t xml:space="preserve">向预备役队员倾斜培训资源；录取考核周期重点评估；确保研发资料留存；做好人员调动/补招、需求降级的准备</t>
  </si>
  <si>
    <t xml:space="preserve">R08</t>
  </si>
  <si>
    <t xml:space="preserve">交付风险</t>
  </si>
  <si>
    <t xml:space="preserve">受到各种因素影响，导致整车研发无法在赛前完整交付</t>
  </si>
  <si>
    <t xml:space="preserve">3月到7月</t>
  </si>
  <si>
    <t xml:space="preserve">工程，英雄，哨兵，步兵必须准备备车，保证兵种比赛前至少有1台车可以正常比赛</t>
  </si>
  <si>
    <t xml:space="preserve">备车</t>
  </si>
  <si>
    <t xml:space="preserve">赛中风险</t>
  </si>
  <si>
    <t xml:space="preserve">机器人在赛中战损</t>
  </si>
  <si>
    <t xml:space="preserve">赛中</t>
  </si>
  <si>
    <t xml:space="preserve">各兵种负责人</t>
  </si>
  <si>
    <t xml:space="preserve">所有兵种需在赛前评估战损风险，并设计快速维修流程，准备充足的备件和物料</t>
  </si>
  <si>
    <t xml:space="preserve">紧急维修与备件更换</t>
  </si>
  <si>
    <t xml:space="preserve">机器人无法通过完整形态考核，导致全队无法参赛</t>
  </si>
  <si>
    <t xml:space="preserve">2-3月</t>
  </si>
  <si>
    <t xml:space="preserve">PM/队长/各兵种负责人</t>
  </si>
  <si>
    <t xml:space="preserve">严格执行项目计划，按时验收，早发现早解决</t>
  </si>
  <si>
    <t xml:space="preserve">使用老车，老队员紧急救火</t>
  </si>
  <si>
    <t xml:space="preserve">阶段</t>
  </si>
  <si>
    <t xml:space="preserve">会议节奏</t>
  </si>
  <si>
    <t xml:space="preserve">参与人</t>
  </si>
  <si>
    <t xml:space="preserve">重点问题</t>
  </si>
  <si>
    <t xml:space="preserve">输出物</t>
  </si>
  <si>
    <t xml:space="preserve">预立项：9月</t>
  </si>
  <si>
    <t xml:space="preserve">每周一次筹备会</t>
  </si>
  <si>
    <t xml:space="preserve">队长/PM/各组老队员</t>
  </si>
  <si>
    <t xml:space="preserve">招新进度、岗位缺口、候选队员质量</t>
  </si>
  <si>
    <t xml:space="preserve">招新名单、初分组、M0问题清单</t>
  </si>
  <si>
    <t xml:space="preserve">立项/培训：10月</t>
  </si>
  <si>
    <t xml:space="preserve">每周一次项目周会 + 各组培训</t>
  </si>
  <si>
    <t xml:space="preserve">PM/组长/新老队员</t>
  </si>
  <si>
    <t xml:space="preserve">培训考核、资源规划、WBS/RACI</t>
  </si>
  <si>
    <t xml:space="preserve">培训记录、立项材料、任务分工</t>
  </si>
  <si>
    <t xml:space="preserve">规则发布/预研：11月</t>
  </si>
  <si>
    <t xml:space="preserve">每周一次方案评审 + 规则差异会</t>
  </si>
  <si>
    <t xml:space="preserve">队长/PM/规则负责人/各组</t>
  </si>
  <si>
    <t xml:space="preserve">新规影响、技术路线、需求基线</t>
  </si>
  <si>
    <t xml:space="preserve">规则差异表、方案评审记录、M2冻结项</t>
  </si>
  <si>
    <t xml:space="preserve">造车：11-12月</t>
  </si>
  <si>
    <t xml:space="preserve">每周项目会 + 关键路径专项会</t>
  </si>
  <si>
    <t xml:space="preserve">PM/各组负责人</t>
  </si>
  <si>
    <t xml:space="preserve">加工采购、接口冻结、单模块进度</t>
  </si>
  <si>
    <t xml:space="preserve">BOM、图纸、测试记录、Issue List</t>
  </si>
  <si>
    <t xml:space="preserve">考试期：1月</t>
  </si>
  <si>
    <t xml:space="preserve">低频同步，必要时线上</t>
  </si>
  <si>
    <t xml:space="preserve">PM/关键负责人</t>
  </si>
  <si>
    <t xml:space="preserve">考试影响、远程任务、未关闭问题</t>
  </si>
  <si>
    <t xml:space="preserve">春节前待办和保底计划</t>
  </si>
  <si>
    <t xml:space="preserve">春节：2周</t>
  </si>
  <si>
    <t xml:space="preserve">远程异步</t>
  </si>
  <si>
    <t xml:space="preserve">PM/后勤/值守人员</t>
  </si>
  <si>
    <t xml:space="preserve">备件、文档、问题清单</t>
  </si>
  <si>
    <t xml:space="preserve">假期后恢复计划</t>
  </si>
  <si>
    <t xml:space="preserve">返校-联盟赛：2-4月</t>
  </si>
  <si>
    <t xml:space="preserve">联调期每日短会 + 每周风险会</t>
  </si>
  <si>
    <t xml:space="preserve">机械/电控/视觉/软件/PM</t>
  </si>
  <si>
    <t xml:space="preserve">整车联调、可靠性、版本冻结</t>
  </si>
  <si>
    <t xml:space="preserve">M4版本冻结、检录模拟、备件表</t>
  </si>
  <si>
    <t xml:space="preserve">联盟赛后：4月</t>
  </si>
  <si>
    <t xml:space="preserve">赛后48小时复盘 + 一周内升级评审</t>
  </si>
  <si>
    <t xml:space="preserve">全队</t>
  </si>
  <si>
    <t xml:space="preserve">比赛数据、故障、战术短板</t>
  </si>
  <si>
    <t xml:space="preserve">复盘报告、迭代需求池</t>
  </si>
  <si>
    <t xml:space="preserve">区域赛：5月</t>
  </si>
  <si>
    <t xml:space="preserve">赛前每日短会 + 赛后复盘</t>
  </si>
  <si>
    <t xml:space="preserve">全队</t>
  </si>
  <si>
    <t xml:space="preserve">区域赛版本、现场问题、全国赛资格</t>
  </si>
  <si>
    <t xml:space="preserve">M6复盘、全国赛升级范围</t>
  </si>
  <si>
    <t xml:space="preserve">全国赛备战：6-8月</t>
  </si>
  <si>
    <t xml:space="preserve">每周版本评审 + 7月压力测试周会</t>
  </si>
  <si>
    <t xml:space="preserve">队长/PM/各组</t>
  </si>
  <si>
    <t xml:space="preserve">升级关闭、可靠性、备件、人训</t>
  </si>
  <si>
    <t xml:space="preserve">M7冻结、全国赛参赛包、最终复盘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</si>
</sst>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-mm-dd"/>
    <numFmt numFmtId="165" formatCode="0"/>
  </numFmts>
  <fonts count="6">
    <font>
      <sz val="10"/>
      <color theme="1"/>
      <name val="Calibri"/>
      <family val="2"/>
      <scheme val="minor"/>
    </font>
    <font>
      <b val="true"/>
      <sz val="16"/>
      <color rgb="FFFFFFFF"/>
      <name val="Carlito"/>
      <family val="2"/>
    </font>
    <font>
      <sz val="10"/>
      <color rgb="FF000000"/>
      <name val="Calibri"/>
      <family val="2"/>
      <scheme val="minor"/>
    </font>
    <font>
      <sz val="11"/>
      <color rgb="FF000000"/>
      <name val="Carlito"/>
      <family val="2"/>
    </font>
    <font>
      <b val="true"/>
      <sz val="11"/>
      <color rgb="FF000000"/>
      <name val="Carlito"/>
      <family val="2"/>
    </font>
    <font>
      <b val="true"/>
      <sz val="11"/>
      <color rgb="FFFFFFFF"/>
      <name val="Carlito"/>
      <family val="2"/>
    </font>
  </fonts>
  <fills count="15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0F172A"/>
        <bgColor/>
      </patternFill>
    </fill>
    <fill>
      <patternFill patternType="solid">
        <fgColor rgb="FFF59E0B"/>
        <bgColor/>
      </patternFill>
    </fill>
    <fill>
      <patternFill patternType="solid">
        <fgColor rgb="FF10B981"/>
        <bgColor/>
      </patternFill>
    </fill>
    <fill>
      <patternFill patternType="solid">
        <fgColor rgb="FF3B82F6"/>
        <bgColor/>
      </patternFill>
    </fill>
    <fill>
      <patternFill patternType="solid">
        <fgColor rgb="FF8B5CF6"/>
        <bgColor/>
      </patternFill>
    </fill>
    <fill>
      <patternFill patternType="solid">
        <fgColor rgb="FFEF4444"/>
        <bgColor/>
      </patternFill>
    </fill>
    <fill>
      <patternFill patternType="solid">
        <fgColor rgb="FF06B6D4"/>
        <bgColor/>
      </patternFill>
    </fill>
    <fill>
      <patternFill patternType="solid">
        <fgColor rgb="FFF97316"/>
        <bgColor/>
      </patternFill>
    </fill>
    <fill>
      <patternFill patternType="solid">
        <fgColor rgb="FF64748B"/>
        <bgColor/>
      </patternFill>
    </fill>
    <fill>
      <patternFill patternType="solid">
        <fgColor rgb="FF111827"/>
        <bgColor/>
      </patternFill>
    </fill>
    <fill>
      <patternFill patternType="solid">
        <fgColor rgb="FF111827"/>
        <bgColor/>
      </patternFill>
    </fill>
    <fill>
      <patternFill patternType="solid">
        <fgColor rgb="FF111827"/>
        <bgColor/>
      </patternFill>
    </fill>
    <fill>
      <patternFill patternType="solid">
        <fgColor rgb="FF111827"/>
        <bgColor/>
      </patternFill>
    </fill>
  </fills>
  <borders count="1">
    <border>
      <left/>
      <right/>
      <top/>
      <bottom/>
      <diagonal/>
    </border>
  </borders>
  <cellStyleXfs count="2">
    <xf applyAlignment="true" applyBorder="false" applyFill="false" applyFont="false" applyNumberFormat="false" applyProtection="false" borderId="0" fillId="0" fontId="0" numFmtId="0"/>
    <xf applyAlignment="true" applyBorder="true" applyFill="true" applyFont="true" applyNumberFormat="true" applyProtection="true" borderId="0" fillId="0" fontId="3" numFmtId="0">
      <alignment vertical="bottom"/>
    </xf>
  </cellStyleXfs>
  <cellXfs count="45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0" fillId="2" fontId="1" numFmtId="0" xfId="0">
      <alignment horizontal="center" vertical="center"/>
    </xf>
    <xf applyAlignment="true" applyBorder="false" applyFill="false" applyFont="true" applyNumberFormat="false" applyProtection="false" borderId="0" fillId="0" fontId="2" numFmtId="0" xfId="0">
      <alignment vertical="center" wrapText="true"/>
    </xf>
    <xf applyAlignment="false" applyBorder="false" applyFill="false" applyFont="false" applyNumberFormat="false" applyProtection="false" borderId="0" fillId="0" fontId="4" numFmtId="0" xfId="1">
      <alignment horizontal="center" vertical="bottom"/>
    </xf>
    <xf applyAlignment="false" applyBorder="false" applyFill="false" applyFont="false" applyNumberFormat="false" applyProtection="false" borderId="0" fillId="3" fontId="5" numFmtId="0" xfId="1">
      <alignment horizontal="center" vertical="bottom"/>
    </xf>
    <xf applyAlignment="false" applyBorder="false" applyFill="false" applyFont="false" applyNumberFormat="false" applyProtection="false" borderId="0" fillId="4" fontId="5" numFmtId="0" xfId="1">
      <alignment horizontal="center" vertical="bottom"/>
    </xf>
    <xf applyAlignment="false" applyBorder="false" applyFill="false" applyFont="false" applyNumberFormat="false" applyProtection="false" borderId="0" fillId="5" fontId="5" numFmtId="0" xfId="1">
      <alignment horizontal="center" vertical="bottom"/>
    </xf>
    <xf applyAlignment="false" applyBorder="false" applyFill="false" applyFont="false" applyNumberFormat="false" applyProtection="false" borderId="0" fillId="6" fontId="5" numFmtId="0" xfId="1">
      <alignment horizontal="center" vertical="bottom"/>
    </xf>
    <xf applyAlignment="false" applyBorder="false" applyFill="false" applyFont="false" applyNumberFormat="false" applyProtection="false" borderId="0" fillId="7" fontId="5" numFmtId="0" xfId="1">
      <alignment horizontal="center" vertical="bottom"/>
    </xf>
    <xf applyAlignment="false" applyBorder="false" applyFill="false" applyFont="false" applyNumberFormat="false" applyProtection="false" borderId="0" fillId="8" fontId="5" numFmtId="0" xfId="1">
      <alignment horizontal="center" vertical="bottom"/>
    </xf>
    <xf applyAlignment="false" applyBorder="false" applyFill="false" applyFont="false" applyNumberFormat="false" applyProtection="false" borderId="0" fillId="9" fontId="5" numFmtId="0" xfId="1">
      <alignment horizontal="center" vertical="bottom"/>
    </xf>
    <xf applyAlignment="false" applyBorder="false" applyFill="false" applyFont="false" applyNumberFormat="false" applyProtection="false" borderId="0" fillId="10" fontId="5" numFmtId="0" xfId="1">
      <alignment horizontal="center" vertical="bottom"/>
    </xf>
    <xf applyAlignment="false" applyBorder="false" applyFill="false" applyFont="false" applyNumberFormat="false" applyProtection="false" borderId="0" fillId="11" fontId="5" numFmtId="0" xfId="1">
      <alignment horizontal="center" vertical="center" wrapText="true"/>
    </xf>
    <xf applyAlignment="false" applyBorder="false" applyFill="false" applyFont="false" applyNumberFormat="false" applyProtection="false" borderId="0" fillId="3" fontId="5" numFmtId="0" xfId="1">
      <alignment horizontal="center" vertical="center" wrapText="true"/>
    </xf>
    <xf applyAlignment="false" applyBorder="false" applyFill="false" applyFont="false" applyNumberFormat="false" applyProtection="false" borderId="0" fillId="0" fontId="3" numFmtId="0" xfId="1">
      <alignment vertical="top" wrapText="true"/>
    </xf>
    <xf applyAlignment="false" applyBorder="false" applyFill="false" applyFont="false" applyNumberFormat="false" applyProtection="false" borderId="0" fillId="0" fontId="3" numFmtId="164" xfId="1">
      <alignment vertical="top" wrapText="true"/>
    </xf>
    <xf applyAlignment="false" applyBorder="false" applyFill="false" applyFont="false" applyNumberFormat="false" applyProtection="false" borderId="0" fillId="0" fontId="3" numFmtId="165" xfId="1">
      <alignment vertical="top" wrapText="true"/>
    </xf>
    <xf applyAlignment="false" applyBorder="false" applyFill="false" applyFont="false" applyNumberFormat="false" applyProtection="false" borderId="0" fillId="4" fontId="5" numFmtId="0" xfId="1">
      <alignment horizontal="center" vertical="center" wrapText="true"/>
    </xf>
    <xf applyAlignment="true" applyBorder="false" applyFill="false" applyFont="true" applyNumberFormat="false" applyProtection="false" borderId="0" fillId="0" fontId="3" numFmtId="0" xfId="0">
      <alignment vertical="top" wrapText="true"/>
    </xf>
    <xf applyAlignment="false" applyBorder="false" applyFill="false" applyFont="false" applyNumberFormat="false" applyProtection="false" borderId="0" fillId="5" fontId="5" numFmtId="0" xfId="1">
      <alignment horizontal="center" vertical="center" wrapText="true"/>
    </xf>
    <xf applyAlignment="false" applyBorder="false" applyFill="false" applyFont="false" applyNumberFormat="false" applyProtection="false" borderId="0" fillId="6" fontId="5" numFmtId="0" xfId="1">
      <alignment horizontal="center" vertical="center" wrapText="true"/>
    </xf>
    <xf applyAlignment="true" applyBorder="false" applyFill="false" applyFont="true" applyNumberFormat="false" applyProtection="false" borderId="0" fillId="0" fontId="3" numFmtId="0" xfId="0">
      <alignment vertical="top" wrapText="true"/>
    </xf>
    <xf applyAlignment="false" applyBorder="false" applyFill="false" applyFont="false" applyNumberFormat="false" applyProtection="false" borderId="0" fillId="7" fontId="5" numFmtId="0" xfId="1">
      <alignment horizontal="center" vertical="center" wrapText="true"/>
    </xf>
    <xf applyAlignment="false" applyBorder="false" applyFill="false" applyFont="false" applyNumberFormat="false" applyProtection="false" borderId="0" fillId="8" fontId="5" numFmtId="0" xfId="1">
      <alignment horizontal="center" vertical="center" wrapText="true"/>
    </xf>
    <xf applyAlignment="false" applyBorder="false" applyFill="false" applyFont="false" applyNumberFormat="false" applyProtection="false" borderId="0" fillId="9" fontId="5" numFmtId="0" xfId="1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center" vertical="center" wrapText="true"/>
    </xf>
    <xf applyAlignment="true" applyBorder="false" applyFill="false" applyFont="true" applyNumberFormat="true" applyProtection="false" borderId="0" fillId="0" fontId="3" numFmtId="164" xfId="0">
      <alignment vertical="top" wrapText="true"/>
    </xf>
    <xf applyAlignment="true" applyBorder="false" applyFill="false" applyFont="true" applyNumberFormat="true" applyProtection="false" borderId="0" fillId="0" fontId="3" numFmtId="165" xfId="0">
      <alignment vertical="top" wrapText="true"/>
    </xf>
    <xf applyAlignment="false" applyBorder="false" applyFill="false" applyFont="false" applyNumberFormat="false" applyProtection="false" borderId="0" fillId="10" fontId="5" numFmtId="0" xfId="1">
      <alignment horizontal="center" vertical="center" wrapText="true"/>
    </xf>
    <xf applyAlignment="false" applyBorder="false" applyFill="false" applyFont="false" applyNumberFormat="false" applyProtection="false" borderId="0" fillId="12" fontId="5" numFmtId="0" xfId="1">
      <alignment horizontal="center" vertical="center" wrapText="true"/>
    </xf>
    <xf applyAlignment="false" applyBorder="false" applyFill="false" applyFont="false" applyNumberFormat="false" applyProtection="false" borderId="0" fillId="0" fontId="3" numFmtId="0" xfId="1">
      <alignment vertical="top" wrapText="true"/>
    </xf>
    <xf applyAlignment="true" applyBorder="false" applyFill="false" applyFont="true" applyNumberFormat="false" applyProtection="false" borderId="0" fillId="0" fontId="3" numFmtId="0" xfId="0">
      <alignment vertical="top" wrapText="true"/>
    </xf>
    <xf applyAlignment="false" applyBorder="false" applyFill="false" applyFont="false" applyNumberFormat="false" applyProtection="false" borderId="0" fillId="13" fontId="5" numFmtId="0" xfId="1">
      <alignment horizontal="center" vertical="center" wrapText="true"/>
    </xf>
    <xf applyAlignment="false" applyBorder="false" applyFill="false" applyFont="false" applyNumberFormat="false" applyProtection="false" borderId="0" fillId="0" fontId="3" numFmtId="0" xfId="1">
      <alignment vertical="top" wrapText="true"/>
    </xf>
    <xf applyAlignment="true" applyBorder="false" applyFill="false" applyFont="true" applyNumberFormat="false" applyProtection="false" borderId="0" fillId="0" fontId="3" numFmtId="0" xfId="0">
      <alignment vertical="top" wrapText="true"/>
    </xf>
    <xf applyAlignment="true" applyBorder="false" applyFill="false" applyFont="true" applyNumberFormat="false" applyProtection="false" borderId="0" fillId="0" fontId="3" numFmtId="0" xfId="0">
      <alignment vertical="top" wrapText="true"/>
    </xf>
    <xf applyAlignment="false" applyBorder="false" applyFill="false" applyFont="false" applyNumberFormat="false" applyProtection="false" borderId="0" fillId="14" fontId="5" numFmtId="0" xfId="1">
      <alignment horizontal="center" vertical="center" wrapText="true"/>
    </xf>
    <xf applyAlignment="false" applyBorder="false" applyFill="false" applyFont="false" applyNumberFormat="false" applyProtection="false" borderId="0" fillId="14" fontId="5" numFmtId="0" xfId="1">
      <alignment horizontal="center" vertical="center" wrapText="true"/>
    </xf>
    <xf applyAlignment="false" applyBorder="false" applyFill="false" applyFont="false" applyNumberFormat="false" applyProtection="false" borderId="0" fillId="14" fontId="5" numFmtId="0" xfId="1">
      <alignment horizontal="center" vertical="center" wrapText="true"/>
    </xf>
    <xf applyAlignment="false" applyBorder="false" applyFill="false" applyFont="false" applyNumberFormat="false" applyProtection="false" borderId="0" fillId="0" fontId="3" numFmtId="0" xfId="1">
      <alignment vertical="top" wrapText="true"/>
    </xf>
    <xf applyAlignment="false" applyBorder="false" applyFill="false" applyFont="false" applyNumberFormat="false" applyProtection="false" borderId="0" fillId="0" fontId="3" numFmtId="0" xfId="1">
      <alignment vertical="top" wrapText="true"/>
    </xf>
    <xf applyAlignment="false" applyBorder="false" applyFill="false" applyFont="false" applyNumberFormat="false" applyProtection="false" borderId="0" fillId="0" fontId="3" numFmtId="0" xfId="1">
      <alignment vertical="top" wrapText="true"/>
    </xf>
    <xf applyAlignment="false" applyBorder="false" applyFill="false" applyFont="false" applyNumberFormat="false" applyProtection="false" borderId="0" fillId="0" fontId="3" numFmtId="0" xfId="1">
      <alignment vertical="top" wrapText="true"/>
    </xf>
    <xf applyAlignment="false" applyBorder="false" applyFill="false" applyFont="false" applyNumberFormat="false" applyProtection="false" borderId="0" fillId="0" fontId="3" numFmtId="0" xfId="1">
      <alignment vertical="top" wrapText="true"/>
    </xf>
    <xf applyAlignment="false" applyBorder="false" applyFill="false" applyFont="false" applyNumberFormat="false" applyProtection="false" borderId="0" fillId="0" fontId="3" numFmtId="0" xfId="1">
      <alignment vertical="top" wrapText="true"/>
    </xf>
  </cellXfs>
  <cellStyles count="2">
    <cellStyle builtinId="0" name="Normal" xfId="0"/>
    <cellStyle name="Normal" xfId="1"/>
  </cellStyles>
  <dxfs count="3">
    <dxf>
      <font>
        <sz val="11"/>
        <color rgb="FF166534"/>
        <name val="Calibri"/>
        <family val="2"/>
        <scheme val="minor"/>
      </font>
      <fill>
        <patternFill patternType="solid">
          <fgColor/>
          <bgColor rgb="FFDCFCE7"/>
        </patternFill>
      </fill>
    </dxf>
    <dxf>
      <font>
        <sz val="11"/>
        <color rgb="FF991B1B"/>
        <name val="Calibri"/>
        <family val="2"/>
        <scheme val="minor"/>
      </font>
      <fill>
        <patternFill patternType="solid">
          <fgColor/>
          <bgColor rgb="FFFEE2E2"/>
        </patternFill>
      </fill>
    </dxf>
    <dxf>
      <font>
        <sz val="11"/>
        <color rgb="FF9A3412"/>
        <name val="Calibri"/>
        <family val="2"/>
        <scheme val="minor"/>
      </font>
      <fill>
        <patternFill patternType="solid">
          <fgColor/>
          <bgColor rgb="FFFED7AA"/>
        </patternFill>
      </fill>
    </dxf>
  </dxfs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Relationship Id="rId7" Target="worksheets/sheet4.xml" Type="http://schemas.openxmlformats.org/officeDocument/2006/relationships/worksheet"></Relationship><Relationship Id="rId8" Target="worksheets/sheet5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3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4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5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/>
  </sheetViews>
  <sheetFormatPr defaultColWidth="14" defaultRowHeight="19"/>
  <cols>
    <col collapsed="false" customWidth="true" hidden="false" max="1" min="1" style="0" width="13"/>
    <col collapsed="false" customWidth="true" hidden="false" max="3" min="3" style="0" width="37"/>
    <col collapsed="false" customWidth="true" hidden="false" max="5" min="5" style="0" width="26"/>
    <col collapsed="false" customWidth="true" hidden="false" max="7" min="7" style="0" width="13"/>
    <col collapsed="false" customWidth="true" hidden="false" max="9" min="9" style="0" width="11"/>
    <col collapsed="false" customWidth="true" hidden="false" max="2" min="2" style="0" width="13"/>
    <col collapsed="false" customWidth="true" hidden="false" max="4" min="4" style="0" width="19"/>
    <col collapsed="false" customWidth="true" hidden="false" max="6" min="6" style="0" width="13"/>
    <col collapsed="false" customWidth="true" hidden="false" max="8" min="8" style="0" width="11"/>
    <col collapsed="false" customWidth="true" hidden="false" max="10" min="10" style="0" width="38"/>
  </cols>
  <sheetData>
    <row customHeight="true" ht="36" r="1">
      <c r="A1" s="1" t="s">
        <v>1</v>
      </c>
      <c r="J1" s="2"/>
    </row>
    <row customHeight="true" ht="36" r="2">
      <c r="A2" s="3" t="s">
        <v>2</v>
      </c>
      <c r="B2" s="4" t="s">
        <v>3</v>
      </c>
      <c r="C2" s="5" t="s">
        <v>4</v>
      </c>
      <c r="D2" s="6" t="s">
        <v>5</v>
      </c>
      <c r="E2" s="7" t="s">
        <v>6</v>
      </c>
      <c r="F2" s="8" t="s">
        <v>7</v>
      </c>
      <c r="G2" s="9" t="s">
        <v>8</v>
      </c>
      <c r="H2" s="10" t="s">
        <v>9</v>
      </c>
      <c r="I2" s="11" t="s">
        <v>10</v>
      </c>
      <c r="J2" s="2"/>
    </row>
    <row customHeight="true" ht="36" r="3">
      <c r="J3" s="2"/>
    </row>
    <row customHeight="true" ht="36" r="4">
      <c r="A4" s="12" t="s">
        <v>11</v>
      </c>
      <c r="B4" s="12" t="s">
        <v>12</v>
      </c>
      <c r="C4" s="12" t="s">
        <v>13</v>
      </c>
      <c r="D4" s="12" t="s">
        <v>14</v>
      </c>
      <c r="E4" s="12" t="s">
        <v>15</v>
      </c>
      <c r="F4" s="12" t="s">
        <v>16</v>
      </c>
      <c r="G4" s="12" t="s">
        <v>17</v>
      </c>
      <c r="H4" s="12" t="s">
        <v>18</v>
      </c>
      <c r="I4" s="12" t="s">
        <v>19</v>
      </c>
      <c r="J4" s="12" t="s">
        <v>20</v>
      </c>
    </row>
    <row customHeight="true" ht="36" r="5">
      <c r="A5" s="13" t="s">
        <v>3</v>
      </c>
      <c r="B5" s="14" t="s">
        <v>21</v>
      </c>
      <c r="C5" s="14" t="s">
        <v>22</v>
      </c>
      <c r="D5" s="14" t="s">
        <v>23</v>
      </c>
      <c r="E5" s="14" t="s">
        <v>24</v>
      </c>
      <c r="F5" s="15">
        <v>46266</v>
      </c>
      <c r="G5" s="15">
        <v>46275</v>
      </c>
      <c r="H5" s="16">
        <f t="shared" ref="H5:H38" si="0">G5-F5+1</f>
      </c>
      <c r="I5" s="14" t="s">
        <v>25</v>
      </c>
      <c r="J5" s="14" t="s">
        <v>26</v>
      </c>
    </row>
    <row customHeight="true" ht="36" r="6">
      <c r="A6" s="13" t="s">
        <v>3</v>
      </c>
      <c r="B6" s="14" t="s">
        <v>21</v>
      </c>
      <c r="C6" s="14" t="s">
        <v>27</v>
      </c>
      <c r="D6" s="14" t="s">
        <v>28</v>
      </c>
      <c r="E6" s="14" t="s">
        <v>29</v>
      </c>
      <c r="F6" s="15">
        <v>46270</v>
      </c>
      <c r="G6" s="15">
        <v>46295</v>
      </c>
      <c r="H6" s="16">
        <f t="shared" si="0"/>
      </c>
      <c r="I6" s="14" t="s">
        <v>25</v>
      </c>
      <c r="J6" s="14" t="s">
        <v>30</v>
      </c>
    </row>
    <row customHeight="true" ht="36" r="7">
      <c r="A7" s="13" t="s">
        <v>3</v>
      </c>
      <c r="B7" s="14" t="s">
        <v>21</v>
      </c>
      <c r="C7" s="14" t="s">
        <v>31</v>
      </c>
      <c r="D7" s="14" t="s">
        <v>32</v>
      </c>
      <c r="E7" s="14" t="s">
        <v>33</v>
      </c>
      <c r="F7" s="15">
        <v>46285</v>
      </c>
      <c r="G7" s="15">
        <v>46295</v>
      </c>
      <c r="H7" s="16">
        <f t="shared" si="0"/>
      </c>
      <c r="I7" s="14" t="s">
        <v>25</v>
      </c>
      <c r="J7" s="14" t="s">
        <v>34</v>
      </c>
    </row>
    <row customHeight="true" ht="36" r="8">
      <c r="A8" s="17" t="s">
        <v>4</v>
      </c>
      <c r="B8" s="14" t="s">
        <v>35</v>
      </c>
      <c r="C8" s="14" t="s">
        <v>36</v>
      </c>
      <c r="D8" s="14" t="s">
        <v>32</v>
      </c>
      <c r="E8" s="14" t="s">
        <v>29</v>
      </c>
      <c r="F8" s="15">
        <v>46296</v>
      </c>
      <c r="G8" s="15">
        <v>46326</v>
      </c>
      <c r="H8" s="16">
        <f t="shared" si="0"/>
      </c>
      <c r="I8" s="14" t="s">
        <v>25</v>
      </c>
      <c r="J8" s="18" t="s">
        <v>37</v>
      </c>
    </row>
    <row customHeight="true" ht="36" r="9">
      <c r="A9" s="17" t="s">
        <v>4</v>
      </c>
      <c r="B9" s="14" t="s">
        <v>35</v>
      </c>
      <c r="C9" s="14" t="s">
        <v>38</v>
      </c>
      <c r="D9" s="14" t="s">
        <v>39</v>
      </c>
      <c r="E9" s="14" t="s">
        <v>40</v>
      </c>
      <c r="F9" s="15">
        <v>46296</v>
      </c>
      <c r="G9" s="15">
        <v>46341</v>
      </c>
      <c r="H9" s="16">
        <f t="shared" si="0"/>
      </c>
      <c r="I9" s="14" t="s">
        <v>25</v>
      </c>
      <c r="J9" s="14" t="s">
        <v>41</v>
      </c>
    </row>
    <row customHeight="true" ht="36" r="10">
      <c r="A10" s="17" t="s">
        <v>4</v>
      </c>
      <c r="B10" s="14" t="s">
        <v>35</v>
      </c>
      <c r="C10" s="14" t="s">
        <v>42</v>
      </c>
      <c r="D10" s="14" t="s">
        <v>43</v>
      </c>
      <c r="E10" s="14" t="s">
        <v>44</v>
      </c>
      <c r="F10" s="15">
        <v>46305</v>
      </c>
      <c r="G10" s="15">
        <v>46326</v>
      </c>
      <c r="H10" s="16">
        <f t="shared" si="0"/>
      </c>
      <c r="I10" s="14" t="s">
        <v>25</v>
      </c>
      <c r="J10" s="14" t="s">
        <v>45</v>
      </c>
    </row>
    <row customHeight="true" ht="36" r="11">
      <c r="A11" s="17" t="s">
        <v>4</v>
      </c>
      <c r="B11" s="14" t="s">
        <v>35</v>
      </c>
      <c r="C11" s="14" t="s">
        <v>46</v>
      </c>
      <c r="D11" s="14" t="s">
        <v>47</v>
      </c>
      <c r="E11" s="14" t="s">
        <v>48</v>
      </c>
      <c r="F11" s="15">
        <v>46315</v>
      </c>
      <c r="G11" s="15">
        <v>46331</v>
      </c>
      <c r="H11" s="16">
        <f t="shared" si="0"/>
      </c>
      <c r="I11" s="14" t="s">
        <v>25</v>
      </c>
      <c r="J11" s="14" t="s">
        <v>49</v>
      </c>
    </row>
    <row customHeight="true" ht="36" r="12">
      <c r="A12" s="19" t="s">
        <v>5</v>
      </c>
      <c r="B12" s="14" t="s">
        <v>50</v>
      </c>
      <c r="C12" s="14" t="s">
        <v>51</v>
      </c>
      <c r="D12" s="14" t="s">
        <v>52</v>
      </c>
      <c r="E12" s="14" t="s">
        <v>53</v>
      </c>
      <c r="F12" s="15">
        <v>46310</v>
      </c>
      <c r="G12" s="15">
        <v>46356</v>
      </c>
      <c r="H12" s="16">
        <f t="shared" si="0"/>
      </c>
      <c r="I12" s="14" t="s">
        <v>25</v>
      </c>
      <c r="J12" s="14" t="s">
        <v>54</v>
      </c>
    </row>
    <row customHeight="true" ht="36" r="13">
      <c r="A13" s="19" t="s">
        <v>5</v>
      </c>
      <c r="B13" s="14" t="s">
        <v>35</v>
      </c>
      <c r="C13" s="14" t="s">
        <v>55</v>
      </c>
      <c r="D13" s="14" t="s">
        <v>56</v>
      </c>
      <c r="E13" s="14" t="s">
        <v>40</v>
      </c>
      <c r="F13" s="15">
        <v>46327</v>
      </c>
      <c r="G13" s="15">
        <v>46341</v>
      </c>
      <c r="H13" s="16">
        <f t="shared" si="0"/>
      </c>
      <c r="I13" s="14" t="s">
        <v>25</v>
      </c>
      <c r="J13" s="14" t="s">
        <v>57</v>
      </c>
    </row>
    <row customHeight="true" ht="36" r="14">
      <c r="A14" s="19" t="s">
        <v>5</v>
      </c>
      <c r="B14" s="14" t="s">
        <v>35</v>
      </c>
      <c r="C14" s="14" t="s">
        <v>58</v>
      </c>
      <c r="D14" s="14" t="s">
        <v>59</v>
      </c>
      <c r="E14" s="14" t="s">
        <v>60</v>
      </c>
      <c r="F14" s="15">
        <v>46336</v>
      </c>
      <c r="G14" s="15">
        <v>46351</v>
      </c>
      <c r="H14" s="16">
        <f t="shared" si="0"/>
      </c>
      <c r="I14" s="14" t="s">
        <v>25</v>
      </c>
      <c r="J14" s="14" t="s">
        <v>61</v>
      </c>
    </row>
    <row customHeight="true" ht="36" r="15">
      <c r="A15" s="19" t="s">
        <v>5</v>
      </c>
      <c r="B15" s="14" t="s">
        <v>35</v>
      </c>
      <c r="C15" s="14" t="s">
        <v>62</v>
      </c>
      <c r="D15" s="14" t="s">
        <v>63</v>
      </c>
      <c r="E15" s="14" t="s">
        <v>64</v>
      </c>
      <c r="F15" s="15">
        <v>46352</v>
      </c>
      <c r="G15" s="15">
        <v>46356</v>
      </c>
      <c r="H15" s="16">
        <f t="shared" si="0"/>
      </c>
      <c r="I15" s="14" t="s">
        <v>25</v>
      </c>
      <c r="J15" s="14" t="s">
        <v>65</v>
      </c>
    </row>
    <row customHeight="true" ht="36" r="16">
      <c r="A16" s="20" t="s">
        <v>6</v>
      </c>
      <c r="B16" s="14" t="s">
        <v>66</v>
      </c>
      <c r="C16" s="14" t="s">
        <v>67</v>
      </c>
      <c r="D16" s="14" t="s">
        <v>68</v>
      </c>
      <c r="E16" s="14" t="s">
        <v>69</v>
      </c>
      <c r="F16" s="15">
        <v>46346</v>
      </c>
      <c r="G16" s="15">
        <v>46387</v>
      </c>
      <c r="H16" s="16">
        <f t="shared" si="0"/>
      </c>
      <c r="I16" s="14" t="s">
        <v>25</v>
      </c>
      <c r="J16" s="14" t="s">
        <v>70</v>
      </c>
    </row>
    <row customHeight="true" ht="36" r="17">
      <c r="A17" s="20" t="s">
        <v>6</v>
      </c>
      <c r="B17" s="14" t="s">
        <v>66</v>
      </c>
      <c r="C17" s="14" t="s">
        <v>71</v>
      </c>
      <c r="D17" s="14" t="s">
        <v>72</v>
      </c>
      <c r="E17" s="14" t="s">
        <v>73</v>
      </c>
      <c r="F17" s="15">
        <v>46346</v>
      </c>
      <c r="G17" s="15">
        <v>46387</v>
      </c>
      <c r="H17" s="16">
        <f t="shared" si="0"/>
      </c>
      <c r="I17" s="14" t="s">
        <v>25</v>
      </c>
      <c r="J17" s="14" t="s">
        <v>74</v>
      </c>
    </row>
    <row customHeight="true" ht="36" r="18">
      <c r="A18" s="20" t="s">
        <v>6</v>
      </c>
      <c r="B18" s="14" t="s">
        <v>66</v>
      </c>
      <c r="C18" s="18" t="s">
        <v>75</v>
      </c>
      <c r="D18" s="14" t="s">
        <v>76</v>
      </c>
      <c r="E18" s="14" t="s">
        <v>77</v>
      </c>
      <c r="F18" s="15">
        <v>46346</v>
      </c>
      <c r="G18" s="15">
        <v>46387</v>
      </c>
      <c r="H18" s="16">
        <f t="shared" si="0"/>
      </c>
      <c r="I18" s="14" t="s">
        <v>25</v>
      </c>
      <c r="J18" s="14" t="s">
        <v>78</v>
      </c>
    </row>
    <row customHeight="true" ht="36" r="19">
      <c r="A19" s="20" t="s">
        <v>6</v>
      </c>
      <c r="B19" s="14" t="s">
        <v>66</v>
      </c>
      <c r="C19" s="18" t="s">
        <v>79</v>
      </c>
      <c r="D19" s="14" t="s">
        <v>80</v>
      </c>
      <c r="E19" s="14" t="s">
        <v>73</v>
      </c>
      <c r="F19" s="15">
        <v>46371</v>
      </c>
      <c r="G19" s="15">
        <v>46387</v>
      </c>
      <c r="H19" s="16">
        <f t="shared" si="0"/>
      </c>
      <c r="I19" s="14" t="s">
        <v>25</v>
      </c>
      <c r="J19" s="14" t="s">
        <v>81</v>
      </c>
    </row>
    <row customHeight="true" ht="36" r="20">
      <c r="A20" s="20" t="s">
        <v>6</v>
      </c>
      <c r="B20" s="14" t="s">
        <v>82</v>
      </c>
      <c r="C20" s="14" t="s">
        <v>83</v>
      </c>
      <c r="D20" s="14" t="s">
        <v>84</v>
      </c>
      <c r="E20" s="14" t="s">
        <v>29</v>
      </c>
      <c r="F20" s="15">
        <v>46388</v>
      </c>
      <c r="G20" s="15">
        <v>46407</v>
      </c>
      <c r="H20" s="16">
        <f t="shared" si="0"/>
      </c>
      <c r="I20" s="14" t="s">
        <v>25</v>
      </c>
      <c r="J20" s="14" t="s">
        <v>85</v>
      </c>
    </row>
    <row customHeight="true" ht="36" r="21">
      <c r="A21" s="20" t="s">
        <v>6</v>
      </c>
      <c r="B21" s="14" t="s">
        <v>86</v>
      </c>
      <c r="C21" s="14" t="s">
        <v>87</v>
      </c>
      <c r="D21" s="14" t="s">
        <v>88</v>
      </c>
      <c r="E21" s="14" t="s">
        <v>48</v>
      </c>
      <c r="F21" s="15">
        <v>46408</v>
      </c>
      <c r="G21" s="15">
        <v>46418</v>
      </c>
      <c r="H21" s="16">
        <f t="shared" si="0"/>
      </c>
      <c r="I21" s="14" t="s">
        <v>25</v>
      </c>
      <c r="J21" s="14" t="s">
        <v>89</v>
      </c>
    </row>
    <row customHeight="true" ht="36" r="22">
      <c r="A22" s="20" t="s">
        <v>6</v>
      </c>
      <c r="B22" s="14" t="s">
        <v>82</v>
      </c>
      <c r="C22" s="14" t="s">
        <v>90</v>
      </c>
      <c r="D22" s="14" t="s">
        <v>91</v>
      </c>
      <c r="E22" s="14" t="s">
        <v>92</v>
      </c>
      <c r="F22" s="15">
        <v>46419</v>
      </c>
      <c r="G22" s="15">
        <v>46432</v>
      </c>
      <c r="H22" s="16">
        <f t="shared" si="0"/>
      </c>
      <c r="I22" s="14" t="s">
        <v>25</v>
      </c>
      <c r="J22" s="14" t="s">
        <v>93</v>
      </c>
    </row>
    <row customHeight="true" ht="36" r="23">
      <c r="A23" s="20" t="s">
        <v>6</v>
      </c>
      <c r="B23" s="14" t="s">
        <v>86</v>
      </c>
      <c r="C23" s="14" t="s">
        <v>94</v>
      </c>
      <c r="D23" s="14" t="s">
        <v>88</v>
      </c>
      <c r="E23" s="14" t="s">
        <v>77</v>
      </c>
      <c r="F23" s="15">
        <v>46433</v>
      </c>
      <c r="G23" s="15">
        <v>46471</v>
      </c>
      <c r="H23" s="16">
        <f t="shared" si="0"/>
      </c>
      <c r="I23" s="14" t="s">
        <v>25</v>
      </c>
      <c r="J23" s="21" t="s">
        <v>95</v>
      </c>
    </row>
    <row customHeight="true" ht="36" r="24">
      <c r="A24" s="20" t="s">
        <v>6</v>
      </c>
      <c r="B24" s="14" t="s">
        <v>82</v>
      </c>
      <c r="C24" s="14" t="s">
        <v>96</v>
      </c>
      <c r="D24" s="14" t="s">
        <v>97</v>
      </c>
      <c r="E24" s="14" t="s">
        <v>98</v>
      </c>
      <c r="F24" s="15">
        <v>46472</v>
      </c>
      <c r="G24" s="15">
        <v>46477</v>
      </c>
      <c r="H24" s="16">
        <f t="shared" si="0"/>
      </c>
      <c r="I24" s="14" t="s">
        <v>25</v>
      </c>
      <c r="J24" s="14" t="s">
        <v>99</v>
      </c>
    </row>
    <row customHeight="true" ht="36" r="25">
      <c r="A25" s="22" t="s">
        <v>7</v>
      </c>
      <c r="B25" s="14" t="s">
        <v>86</v>
      </c>
      <c r="C25" s="14" t="s">
        <v>100</v>
      </c>
      <c r="D25" s="14" t="s">
        <v>101</v>
      </c>
      <c r="E25" s="14" t="s">
        <v>102</v>
      </c>
      <c r="F25" s="15">
        <v>46478</v>
      </c>
      <c r="G25" s="15">
        <v>46487</v>
      </c>
      <c r="H25" s="16">
        <f t="shared" si="0"/>
      </c>
      <c r="I25" s="14" t="s">
        <v>25</v>
      </c>
      <c r="J25" s="14" t="s">
        <v>103</v>
      </c>
    </row>
    <row customHeight="true" ht="36" r="26">
      <c r="A26" s="22" t="s">
        <v>7</v>
      </c>
      <c r="B26" s="14" t="s">
        <v>66</v>
      </c>
      <c r="C26" s="14" t="s">
        <v>104</v>
      </c>
      <c r="D26" s="14" t="s">
        <v>105</v>
      </c>
      <c r="E26" s="14" t="s">
        <v>106</v>
      </c>
      <c r="F26" s="15">
        <v>46488</v>
      </c>
      <c r="G26" s="15">
        <v>46495</v>
      </c>
      <c r="H26" s="16">
        <f t="shared" si="0"/>
      </c>
      <c r="I26" s="14" t="s">
        <v>25</v>
      </c>
      <c r="J26" s="14" t="s">
        <v>107</v>
      </c>
    </row>
    <row customHeight="true" ht="36" r="27">
      <c r="A27" s="22" t="s">
        <v>7</v>
      </c>
      <c r="B27" s="14" t="s">
        <v>108</v>
      </c>
      <c r="C27" s="14" t="s">
        <v>109</v>
      </c>
      <c r="D27" s="14" t="s">
        <v>97</v>
      </c>
      <c r="E27" s="14" t="s">
        <v>110</v>
      </c>
      <c r="F27" s="15">
        <v>46496</v>
      </c>
      <c r="G27" s="15">
        <v>46502</v>
      </c>
      <c r="H27" s="16">
        <f t="shared" si="0"/>
      </c>
      <c r="I27" s="14" t="s">
        <v>25</v>
      </c>
      <c r="J27" s="14" t="s">
        <v>111</v>
      </c>
    </row>
    <row customHeight="true" ht="36" r="28">
      <c r="A28" s="22" t="s">
        <v>7</v>
      </c>
      <c r="B28" s="14" t="s">
        <v>86</v>
      </c>
      <c r="C28" s="14" t="s">
        <v>112</v>
      </c>
      <c r="D28" s="14" t="s">
        <v>88</v>
      </c>
      <c r="E28" s="14" t="s">
        <v>113</v>
      </c>
      <c r="F28" s="15">
        <v>46503</v>
      </c>
      <c r="G28" s="15">
        <v>46517</v>
      </c>
      <c r="H28" s="16">
        <f t="shared" si="0"/>
      </c>
      <c r="I28" s="14" t="s">
        <v>25</v>
      </c>
      <c r="J28" s="14" t="s">
        <v>114</v>
      </c>
    </row>
    <row customHeight="true" ht="36" r="29">
      <c r="A29" s="23" t="s">
        <v>8</v>
      </c>
      <c r="B29" s="14" t="s">
        <v>86</v>
      </c>
      <c r="C29" s="14" t="s">
        <v>115</v>
      </c>
      <c r="D29" s="14" t="s">
        <v>116</v>
      </c>
      <c r="E29" s="14" t="s">
        <v>98</v>
      </c>
      <c r="F29" s="15">
        <v>46508</v>
      </c>
      <c r="G29" s="15">
        <v>46521</v>
      </c>
      <c r="H29" s="16">
        <f t="shared" si="0"/>
      </c>
      <c r="I29" s="14" t="s">
        <v>25</v>
      </c>
      <c r="J29" s="14" t="s">
        <v>117</v>
      </c>
    </row>
    <row customHeight="true" ht="36" r="30">
      <c r="A30" s="23" t="s">
        <v>8</v>
      </c>
      <c r="B30" s="14" t="s">
        <v>66</v>
      </c>
      <c r="C30" s="14" t="s">
        <v>118</v>
      </c>
      <c r="D30" s="14" t="s">
        <v>105</v>
      </c>
      <c r="E30" s="14" t="s">
        <v>119</v>
      </c>
      <c r="F30" s="15">
        <v>46522</v>
      </c>
      <c r="G30" s="15">
        <v>46529</v>
      </c>
      <c r="H30" s="16">
        <f t="shared" si="0"/>
      </c>
      <c r="I30" s="14" t="s">
        <v>25</v>
      </c>
      <c r="J30" s="14" t="s">
        <v>120</v>
      </c>
    </row>
    <row customHeight="true" ht="36" r="31">
      <c r="A31" s="23" t="s">
        <v>8</v>
      </c>
      <c r="B31" s="14" t="s">
        <v>108</v>
      </c>
      <c r="C31" s="14" t="s">
        <v>121</v>
      </c>
      <c r="D31" s="14" t="s">
        <v>122</v>
      </c>
      <c r="E31" s="14" t="s">
        <v>123</v>
      </c>
      <c r="F31" s="15">
        <v>46530</v>
      </c>
      <c r="G31" s="15">
        <v>46543</v>
      </c>
      <c r="H31" s="16">
        <f t="shared" si="0"/>
      </c>
      <c r="I31" s="14" t="s">
        <v>25</v>
      </c>
      <c r="J31" s="14" t="s">
        <v>124</v>
      </c>
    </row>
    <row customHeight="true" ht="36" r="32">
      <c r="A32" s="24" t="s">
        <v>9</v>
      </c>
      <c r="B32" s="14" t="s">
        <v>50</v>
      </c>
      <c r="C32" s="14" t="s">
        <v>125</v>
      </c>
      <c r="D32" s="14" t="s">
        <v>116</v>
      </c>
      <c r="E32" s="14" t="s">
        <v>126</v>
      </c>
      <c r="F32" s="15">
        <v>46539</v>
      </c>
      <c r="G32" s="15">
        <v>46548</v>
      </c>
      <c r="H32" s="16">
        <f t="shared" si="0"/>
      </c>
      <c r="I32" s="14" t="s">
        <v>25</v>
      </c>
      <c r="J32" s="14" t="s">
        <v>127</v>
      </c>
    </row>
    <row customHeight="true" ht="36" r="33">
      <c r="A33" s="24" t="s">
        <v>9</v>
      </c>
      <c r="B33" s="14" t="s">
        <v>86</v>
      </c>
      <c r="C33" s="14" t="s">
        <v>128</v>
      </c>
      <c r="D33" s="14" t="s">
        <v>88</v>
      </c>
      <c r="E33" s="14" t="s">
        <v>48</v>
      </c>
      <c r="F33" s="15">
        <v>46549</v>
      </c>
      <c r="G33" s="15">
        <v>46578</v>
      </c>
      <c r="H33" s="16">
        <f t="shared" si="0"/>
      </c>
      <c r="I33" s="14" t="s">
        <v>25</v>
      </c>
      <c r="J33" s="14" t="s">
        <v>129</v>
      </c>
    </row>
    <row customHeight="true" ht="36" r="34">
      <c r="A34" s="25" t="s">
        <v>9</v>
      </c>
      <c r="B34" s="18" t="s">
        <v>82</v>
      </c>
      <c r="C34" s="18" t="s">
        <v>130</v>
      </c>
      <c r="D34" s="18" t="s">
        <v>84</v>
      </c>
      <c r="E34" s="18" t="s">
        <v>29</v>
      </c>
      <c r="F34" s="26">
        <v>46558</v>
      </c>
      <c r="G34" s="26">
        <v>46578</v>
      </c>
      <c r="H34" s="27">
        <f t="shared" si="0"/>
      </c>
      <c r="I34" s="18" t="s">
        <v>25</v>
      </c>
      <c r="J34" s="18" t="s">
        <v>85</v>
      </c>
    </row>
    <row customHeight="true" ht="36" r="35">
      <c r="A35" s="24" t="s">
        <v>9</v>
      </c>
      <c r="B35" s="14" t="s">
        <v>82</v>
      </c>
      <c r="C35" s="14" t="s">
        <v>131</v>
      </c>
      <c r="D35" s="14" t="s">
        <v>116</v>
      </c>
      <c r="E35" s="14" t="s">
        <v>77</v>
      </c>
      <c r="F35" s="26">
        <v>46578</v>
      </c>
      <c r="G35" s="15">
        <v>46593</v>
      </c>
      <c r="H35" s="16">
        <f t="shared" si="0"/>
      </c>
      <c r="I35" s="14" t="s">
        <v>25</v>
      </c>
      <c r="J35" s="14" t="s">
        <v>132</v>
      </c>
    </row>
    <row customHeight="true" ht="36" r="36">
      <c r="A36" s="24" t="s">
        <v>9</v>
      </c>
      <c r="B36" s="14" t="s">
        <v>82</v>
      </c>
      <c r="C36" s="14" t="s">
        <v>133</v>
      </c>
      <c r="D36" s="14" t="s">
        <v>134</v>
      </c>
      <c r="E36" s="14" t="s">
        <v>135</v>
      </c>
      <c r="F36" s="26">
        <v>46588</v>
      </c>
      <c r="G36" s="26">
        <v>46597</v>
      </c>
      <c r="H36" s="16">
        <f t="shared" si="0"/>
      </c>
      <c r="I36" s="14" t="s">
        <v>25</v>
      </c>
      <c r="J36" s="14" t="s">
        <v>136</v>
      </c>
    </row>
    <row customHeight="true" ht="36" r="37">
      <c r="A37" s="24" t="s">
        <v>9</v>
      </c>
      <c r="B37" s="14" t="s">
        <v>66</v>
      </c>
      <c r="C37" s="14" t="s">
        <v>137</v>
      </c>
      <c r="D37" s="14" t="s">
        <v>105</v>
      </c>
      <c r="E37" s="14" t="s">
        <v>138</v>
      </c>
      <c r="F37" s="26">
        <v>46600</v>
      </c>
      <c r="G37" s="26">
        <v>46606</v>
      </c>
      <c r="H37" s="16">
        <f t="shared" si="0"/>
      </c>
      <c r="I37" s="14" t="s">
        <v>25</v>
      </c>
      <c r="J37" s="14" t="s">
        <v>139</v>
      </c>
    </row>
    <row customHeight="true" ht="36" r="38">
      <c r="A38" s="28" t="s">
        <v>10</v>
      </c>
      <c r="B38" s="14" t="s">
        <v>140</v>
      </c>
      <c r="C38" s="14" t="s">
        <v>141</v>
      </c>
      <c r="D38" s="14" t="s">
        <v>97</v>
      </c>
      <c r="E38" s="14" t="s">
        <v>142</v>
      </c>
      <c r="F38" s="26">
        <v>46607</v>
      </c>
      <c r="G38" s="15">
        <v>46630</v>
      </c>
      <c r="H38" s="16">
        <f t="shared" si="0"/>
      </c>
      <c r="I38" s="14" t="s">
        <v>25</v>
      </c>
      <c r="J38" s="14" t="s">
        <v>143</v>
      </c>
    </row>
    <row r="39">
      <c r="J39" s="2"/>
    </row>
    <row r="40">
      <c r="J40" s="2"/>
    </row>
    <row r="41">
      <c r="J41" s="2"/>
    </row>
    <row r="42">
      <c r="J42" s="2"/>
    </row>
    <row r="43">
      <c r="J43" s="2"/>
    </row>
    <row r="44">
      <c r="J44" s="2"/>
    </row>
    <row r="45">
      <c r="J45" s="2"/>
    </row>
    <row r="46">
      <c r="J46" s="2"/>
    </row>
    <row r="47">
      <c r="J47" s="2"/>
    </row>
    <row r="48">
      <c r="J48" s="2"/>
    </row>
    <row r="49">
      <c r="J49" s="2"/>
    </row>
    <row r="50">
      <c r="J50" s="2"/>
    </row>
    <row r="51">
      <c r="J51" s="2"/>
    </row>
    <row r="52">
      <c r="J52" s="2"/>
    </row>
    <row r="53">
      <c r="J53" s="2"/>
    </row>
    <row r="54">
      <c r="J54" s="2"/>
    </row>
    <row r="55">
      <c r="J55" s="2"/>
    </row>
    <row r="56">
      <c r="J56" s="2"/>
    </row>
    <row r="57">
      <c r="J57" s="2"/>
    </row>
    <row r="58">
      <c r="J58" s="2"/>
    </row>
    <row r="59">
      <c r="J59" s="2"/>
    </row>
    <row r="60">
      <c r="J60" s="2"/>
    </row>
    <row r="61">
      <c r="J61" s="2"/>
    </row>
    <row r="62">
      <c r="J62" s="2"/>
    </row>
    <row r="63">
      <c r="J63" s="2"/>
    </row>
    <row r="64">
      <c r="J64" s="2"/>
    </row>
    <row r="65">
      <c r="J65" s="2"/>
    </row>
    <row r="66">
      <c r="J66" s="2"/>
    </row>
    <row r="67">
      <c r="J67" s="2"/>
    </row>
    <row r="68">
      <c r="J68" s="2"/>
    </row>
    <row r="69">
      <c r="J69" s="2"/>
    </row>
    <row r="70">
      <c r="J70" s="2"/>
    </row>
    <row r="71">
      <c r="J71" s="2"/>
    </row>
    <row r="72">
      <c r="J72" s="2"/>
    </row>
    <row r="73">
      <c r="J73" s="2"/>
    </row>
    <row r="74">
      <c r="J74" s="2"/>
    </row>
    <row r="75">
      <c r="J75" s="2"/>
    </row>
    <row r="76">
      <c r="J76" s="2"/>
    </row>
    <row r="77">
      <c r="J77" s="2"/>
    </row>
    <row r="78">
      <c r="J78" s="2"/>
    </row>
    <row r="79">
      <c r="J79" s="2"/>
    </row>
    <row r="80">
      <c r="J80" s="2"/>
    </row>
    <row r="81">
      <c r="J81" s="2"/>
    </row>
    <row r="82">
      <c r="J82" s="2"/>
    </row>
    <row r="83">
      <c r="J83" s="2"/>
    </row>
    <row r="84">
      <c r="J84" s="2"/>
    </row>
    <row r="85">
      <c r="J85" s="2"/>
    </row>
    <row r="86">
      <c r="J86" s="2"/>
    </row>
    <row r="87">
      <c r="J87" s="2"/>
    </row>
    <row r="88">
      <c r="J88" s="2"/>
    </row>
    <row r="89">
      <c r="J89" s="2"/>
    </row>
    <row r="90">
      <c r="J90" s="2"/>
    </row>
    <row r="91">
      <c r="J91" s="2"/>
    </row>
    <row r="92">
      <c r="J92" s="2"/>
    </row>
    <row r="93">
      <c r="J93" s="2"/>
    </row>
    <row r="94">
      <c r="J94" s="2"/>
    </row>
    <row r="95">
      <c r="J95" s="2"/>
    </row>
    <row r="96">
      <c r="J96" s="2"/>
    </row>
    <row r="97">
      <c r="J97" s="2"/>
    </row>
    <row r="98">
      <c r="J98" s="2"/>
    </row>
    <row r="99">
      <c r="J99" s="2"/>
    </row>
    <row r="100">
      <c r="J100" s="2"/>
    </row>
    <row r="101">
      <c r="J101" s="2"/>
    </row>
    <row r="102">
      <c r="J102" s="2"/>
    </row>
    <row r="103">
      <c r="J103" s="2"/>
    </row>
    <row r="104">
      <c r="J104" s="2"/>
    </row>
    <row r="105">
      <c r="J105" s="2"/>
    </row>
    <row r="106">
      <c r="J106" s="2"/>
    </row>
    <row r="107">
      <c r="J107" s="2"/>
    </row>
    <row r="108">
      <c r="J108" s="2"/>
    </row>
    <row r="109">
      <c r="J109" s="2"/>
    </row>
    <row r="110">
      <c r="J110" s="2"/>
    </row>
    <row r="111">
      <c r="J111" s="2"/>
    </row>
    <row r="112">
      <c r="J112" s="2"/>
    </row>
    <row r="113">
      <c r="J113" s="2"/>
    </row>
    <row r="114">
      <c r="J114" s="2"/>
    </row>
    <row r="115">
      <c r="J115" s="2"/>
    </row>
    <row r="116">
      <c r="J116" s="2"/>
    </row>
    <row r="117">
      <c r="J117" s="2"/>
    </row>
    <row r="118">
      <c r="J118" s="2"/>
    </row>
    <row r="119">
      <c r="J119" s="2"/>
    </row>
    <row r="120">
      <c r="J120" s="2"/>
    </row>
    <row r="121">
      <c r="J121" s="2"/>
    </row>
    <row r="122">
      <c r="J122" s="2"/>
    </row>
    <row r="123">
      <c r="J123" s="2"/>
    </row>
    <row r="124">
      <c r="J124" s="2"/>
    </row>
    <row r="125">
      <c r="J125" s="2"/>
    </row>
    <row r="126">
      <c r="J126" s="2"/>
    </row>
    <row r="127">
      <c r="J127" s="2"/>
    </row>
    <row r="128">
      <c r="J128" s="2"/>
    </row>
    <row r="129">
      <c r="J129" s="2"/>
    </row>
    <row r="130">
      <c r="J130" s="2"/>
    </row>
    <row r="131">
      <c r="J131" s="2"/>
    </row>
    <row r="132">
      <c r="J132" s="2"/>
    </row>
    <row r="133">
      <c r="J133" s="2"/>
    </row>
    <row r="134">
      <c r="J134" s="2"/>
    </row>
    <row r="135">
      <c r="J135" s="2"/>
    </row>
    <row r="136">
      <c r="J136" s="2"/>
    </row>
    <row r="137">
      <c r="J137" s="2"/>
    </row>
    <row r="138">
      <c r="J138" s="2"/>
    </row>
    <row r="139">
      <c r="J139" s="2"/>
    </row>
    <row r="140">
      <c r="J140" s="2"/>
    </row>
    <row r="141">
      <c r="J141" s="2"/>
    </row>
    <row r="142">
      <c r="J142" s="2"/>
    </row>
    <row r="143">
      <c r="J143" s="2"/>
    </row>
    <row r="144">
      <c r="J144" s="2"/>
    </row>
    <row r="145">
      <c r="J145" s="2"/>
    </row>
    <row r="146">
      <c r="J146" s="2"/>
    </row>
    <row r="147">
      <c r="J147" s="2"/>
    </row>
    <row r="148">
      <c r="J148" s="2"/>
    </row>
    <row r="149">
      <c r="J149" s="2"/>
    </row>
    <row r="150">
      <c r="J150" s="2"/>
    </row>
    <row r="151">
      <c r="J151" s="2"/>
    </row>
    <row r="152">
      <c r="J152" s="2"/>
    </row>
    <row r="153">
      <c r="J153" s="2"/>
    </row>
    <row r="154">
      <c r="J154" s="2"/>
    </row>
    <row r="155">
      <c r="J155" s="2"/>
    </row>
    <row r="156">
      <c r="J156" s="2"/>
    </row>
    <row r="157">
      <c r="J157" s="2"/>
    </row>
    <row r="158">
      <c r="J158" s="2"/>
    </row>
    <row r="159">
      <c r="J159" s="2"/>
    </row>
    <row r="160">
      <c r="J160" s="2"/>
    </row>
    <row r="161">
      <c r="J161" s="2"/>
    </row>
    <row r="162">
      <c r="J162" s="2"/>
    </row>
    <row r="163">
      <c r="J163" s="2"/>
    </row>
    <row r="164">
      <c r="J164" s="2"/>
    </row>
    <row r="165">
      <c r="J165" s="2"/>
    </row>
    <row r="166">
      <c r="J166" s="2"/>
    </row>
    <row r="167">
      <c r="J167" s="2"/>
    </row>
    <row r="168">
      <c r="J168" s="2"/>
    </row>
    <row r="169">
      <c r="J169" s="2"/>
    </row>
    <row r="170">
      <c r="J170" s="2"/>
    </row>
    <row r="171">
      <c r="J171" s="2"/>
    </row>
    <row r="172">
      <c r="J172" s="2"/>
    </row>
    <row r="173">
      <c r="J173" s="2"/>
    </row>
    <row r="174">
      <c r="J174" s="2"/>
    </row>
    <row r="175">
      <c r="J175" s="2"/>
    </row>
    <row r="176">
      <c r="J176" s="2"/>
    </row>
    <row r="177">
      <c r="J177" s="2"/>
    </row>
    <row r="178">
      <c r="J178" s="2"/>
    </row>
    <row r="179">
      <c r="J179" s="2"/>
    </row>
    <row r="180">
      <c r="J180" s="2"/>
    </row>
    <row r="181">
      <c r="J181" s="2"/>
    </row>
    <row r="182">
      <c r="J182" s="2"/>
    </row>
    <row r="183">
      <c r="J183" s="2"/>
    </row>
    <row r="184">
      <c r="J184" s="2"/>
    </row>
    <row r="185">
      <c r="J185" s="2"/>
    </row>
    <row r="186">
      <c r="J186" s="2"/>
    </row>
    <row r="187">
      <c r="J187" s="2"/>
    </row>
    <row r="188">
      <c r="J188" s="2"/>
    </row>
    <row r="189">
      <c r="J189" s="2"/>
    </row>
    <row r="190">
      <c r="J190" s="2"/>
    </row>
    <row r="191">
      <c r="J191" s="2"/>
    </row>
    <row r="192">
      <c r="J192" s="2"/>
    </row>
    <row r="193">
      <c r="J193" s="2"/>
    </row>
    <row r="194">
      <c r="J194" s="2"/>
    </row>
    <row r="195">
      <c r="J195" s="2"/>
    </row>
    <row r="196">
      <c r="J196" s="2"/>
    </row>
    <row r="197">
      <c r="J197" s="2"/>
    </row>
    <row r="198">
      <c r="J198" s="2"/>
    </row>
  </sheetData>
  <mergeCells>
    <mergeCell ref="A1:J1"/>
  </mergeCells>
  <conditionalFormatting sqref="I5:I38">
    <cfRule dxfId="0" priority="2" stopIfTrue="true" type="expression">
      <formula>$I5="完成"</formula>
    </cfRule>
  </conditionalFormatting>
  <conditionalFormatting sqref="I5:I38">
    <cfRule dxfId="1" priority="3" stopIfTrue="true" type="expression">
      <formula>$I5="延期"</formula>
    </cfRule>
  </conditionalFormatting>
  <conditionalFormatting sqref="I5:I38">
    <cfRule dxfId="2" priority="4" stopIfTrue="true" type="expression">
      <formula>$I5="阻塞"</formula>
    </cfRule>
  </conditionalFormatting>
  <dataValidations count="1">
    <dataValidation allowBlank="true" errorStyle="stop" showErrorMessage="true" sqref="I5:I38" type="list">
      <formula1>"未开始,进行中,阻塞,延期,完成,冻结"</formula1>
    </dataValidation>
  </dataValidations>
  <picture r:id="rId1"/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1"/>
    <col collapsed="false" customWidth="true" hidden="false" max="2" min="2" style="0" width="19"/>
    <col collapsed="false" customWidth="true" hidden="false" max="3" min="3" style="0" width="13"/>
    <col collapsed="false" customWidth="true" hidden="false" max="4" min="4" style="0" width="63"/>
    <col collapsed="false" customWidth="true" hidden="false" max="5" min="5" style="0" width="38"/>
  </cols>
  <sheetData>
    <row customHeight="true" ht="17" r="1">
      <c r="A1" s="29" t="s">
        <v>144</v>
      </c>
      <c r="B1" s="29" t="s">
        <v>145</v>
      </c>
      <c r="C1" s="29" t="s">
        <v>146</v>
      </c>
      <c r="D1" s="29" t="s">
        <v>147</v>
      </c>
      <c r="E1" s="29" t="s">
        <v>148</v>
      </c>
    </row>
    <row customHeight="true" ht="17" r="2">
      <c r="A2" s="30" t="s">
        <v>149</v>
      </c>
      <c r="B2" s="30" t="s">
        <v>150</v>
      </c>
      <c r="C2" s="30" t="s">
        <v>151</v>
      </c>
      <c r="D2" s="30" t="s">
        <v>152</v>
      </c>
      <c r="E2" s="30" t="s">
        <v>153</v>
      </c>
    </row>
    <row customHeight="true" ht="17" r="3">
      <c r="A3" s="30" t="s">
        <v>154</v>
      </c>
      <c r="B3" s="30" t="s">
        <v>155</v>
      </c>
      <c r="C3" s="30" t="s">
        <v>156</v>
      </c>
      <c r="D3" s="30" t="s">
        <v>157</v>
      </c>
      <c r="E3" s="30" t="s">
        <v>158</v>
      </c>
    </row>
    <row customHeight="true" ht="17" r="4">
      <c r="A4" s="30" t="s">
        <v>159</v>
      </c>
      <c r="B4" s="30" t="s">
        <v>160</v>
      </c>
      <c r="C4" s="30" t="s">
        <v>161</v>
      </c>
      <c r="D4" s="30" t="s">
        <v>162</v>
      </c>
      <c r="E4" s="30" t="s">
        <v>163</v>
      </c>
    </row>
    <row customHeight="true" ht="17" r="5">
      <c r="A5" s="30" t="s">
        <v>164</v>
      </c>
      <c r="B5" s="30" t="s">
        <v>165</v>
      </c>
      <c r="C5" s="30" t="s">
        <v>166</v>
      </c>
      <c r="D5" s="30" t="s">
        <v>167</v>
      </c>
      <c r="E5" s="30" t="s">
        <v>168</v>
      </c>
    </row>
    <row customHeight="true" ht="17" r="6">
      <c r="A6" s="30" t="s">
        <v>169</v>
      </c>
      <c r="B6" s="30" t="s">
        <v>170</v>
      </c>
      <c r="C6" s="30" t="s">
        <v>171</v>
      </c>
      <c r="D6" s="30" t="s">
        <v>172</v>
      </c>
      <c r="E6" s="30" t="s">
        <v>173</v>
      </c>
    </row>
    <row customHeight="true" ht="17" r="7">
      <c r="A7" s="30" t="s">
        <v>174</v>
      </c>
      <c r="B7" s="30" t="s">
        <v>175</v>
      </c>
      <c r="C7" s="30" t="s">
        <v>176</v>
      </c>
      <c r="D7" s="30" t="s">
        <v>177</v>
      </c>
      <c r="E7" s="30" t="s">
        <v>178</v>
      </c>
    </row>
    <row customHeight="true" ht="17" r="8">
      <c r="A8" s="30" t="s">
        <v>179</v>
      </c>
      <c r="B8" s="30" t="s">
        <v>180</v>
      </c>
      <c r="C8" s="31" t="s">
        <v>181</v>
      </c>
      <c r="D8" s="30" t="s">
        <v>182</v>
      </c>
      <c r="E8" s="30" t="s">
        <v>183</v>
      </c>
    </row>
    <row customHeight="true" ht="17" r="9">
      <c r="A9" s="30" t="s">
        <v>184</v>
      </c>
      <c r="B9" s="30" t="s">
        <v>185</v>
      </c>
      <c r="C9" s="31" t="s">
        <v>186</v>
      </c>
      <c r="D9" s="30" t="s">
        <v>187</v>
      </c>
      <c r="E9" s="30" t="s">
        <v>188</v>
      </c>
    </row>
    <row customHeight="true" ht="17" r="10">
      <c r="A10" s="30" t="s">
        <v>189</v>
      </c>
      <c r="B10" s="30" t="s">
        <v>190</v>
      </c>
      <c r="C10" s="30" t="s">
        <v>191</v>
      </c>
      <c r="D10" s="30" t="s">
        <v>192</v>
      </c>
      <c r="E10" s="30" t="s">
        <v>193</v>
      </c>
    </row>
  </sheetData>
  <picture r:id="rId1"/>
</worksheet>
</file>

<file path=xl/worksheets/sheet4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8" min="8" style="0" width="11"/>
    <col collapsed="false" customWidth="true" hidden="false" max="2" min="2" style="0" width="15"/>
    <col collapsed="false" customWidth="true" hidden="false" max="4" min="4" style="0" width="17"/>
    <col collapsed="false" customWidth="true" hidden="false" max="6" min="6" style="0" width="45"/>
    <col collapsed="false" customWidth="true" hidden="false" max="7" min="7" style="0" width="36"/>
    <col collapsed="false" customWidth="true" hidden="false" max="1" min="1" style="0" width="9"/>
    <col collapsed="false" customWidth="true" hidden="false" max="3" min="3" style="0" width="51"/>
    <col collapsed="false" customWidth="true" hidden="false" max="5" min="5" style="0" width="19"/>
  </cols>
  <sheetData>
    <row customHeight="true" ht="17" r="1">
      <c r="A1" s="32" t="s">
        <v>194</v>
      </c>
      <c r="B1" s="32" t="s">
        <v>195</v>
      </c>
      <c r="C1" s="32" t="s">
        <v>196</v>
      </c>
      <c r="D1" s="32" t="s">
        <v>197</v>
      </c>
      <c r="E1" s="32" t="s">
        <v>198</v>
      </c>
      <c r="F1" s="32" t="s">
        <v>199</v>
      </c>
      <c r="G1" s="32" t="s">
        <v>200</v>
      </c>
      <c r="H1" s="32" t="s">
        <v>201</v>
      </c>
    </row>
    <row customHeight="true" ht="36" r="2">
      <c r="A2" s="33" t="s">
        <v>202</v>
      </c>
      <c r="B2" s="33" t="s">
        <v>203</v>
      </c>
      <c r="C2" s="33" t="s">
        <v>204</v>
      </c>
      <c r="D2" s="33" t="s">
        <v>205</v>
      </c>
      <c r="E2" s="33" t="s">
        <v>206</v>
      </c>
      <c r="F2" s="33" t="s">
        <v>207</v>
      </c>
      <c r="G2" s="33" t="s">
        <v>208</v>
      </c>
      <c r="H2" s="33" t="s">
        <v>209</v>
      </c>
    </row>
    <row customHeight="true" ht="36" r="3">
      <c r="A3" s="33" t="s">
        <v>210</v>
      </c>
      <c r="B3" s="33" t="s">
        <v>211</v>
      </c>
      <c r="C3" s="33" t="s">
        <v>212</v>
      </c>
      <c r="D3" s="33" t="s">
        <v>213</v>
      </c>
      <c r="E3" s="33" t="s">
        <v>214</v>
      </c>
      <c r="F3" s="33" t="s">
        <v>215</v>
      </c>
      <c r="G3" s="33" t="s">
        <v>216</v>
      </c>
      <c r="H3" s="33" t="s">
        <v>209</v>
      </c>
    </row>
    <row customHeight="true" ht="36" r="4">
      <c r="A4" s="33" t="s">
        <v>217</v>
      </c>
      <c r="B4" s="33" t="s">
        <v>218</v>
      </c>
      <c r="C4" s="33" t="s">
        <v>219</v>
      </c>
      <c r="D4" s="33" t="s">
        <v>220</v>
      </c>
      <c r="E4" s="33" t="s">
        <v>221</v>
      </c>
      <c r="F4" s="33" t="s">
        <v>222</v>
      </c>
      <c r="G4" s="33" t="s">
        <v>223</v>
      </c>
      <c r="H4" s="33" t="s">
        <v>209</v>
      </c>
    </row>
    <row customHeight="true" ht="36" r="5">
      <c r="A5" s="33" t="s">
        <v>224</v>
      </c>
      <c r="B5" s="33" t="s">
        <v>225</v>
      </c>
      <c r="C5" s="33" t="s">
        <v>226</v>
      </c>
      <c r="D5" s="33" t="s">
        <v>227</v>
      </c>
      <c r="E5" s="33" t="s">
        <v>228</v>
      </c>
      <c r="F5" s="33" t="s">
        <v>229</v>
      </c>
      <c r="G5" s="33" t="s">
        <v>230</v>
      </c>
      <c r="H5" s="33" t="s">
        <v>209</v>
      </c>
    </row>
    <row customHeight="true" ht="36" r="6">
      <c r="A6" s="33" t="s">
        <v>231</v>
      </c>
      <c r="B6" s="33" t="s">
        <v>232</v>
      </c>
      <c r="C6" s="33" t="s">
        <v>233</v>
      </c>
      <c r="D6" s="33" t="s">
        <v>234</v>
      </c>
      <c r="E6" s="34" t="s">
        <v>235</v>
      </c>
      <c r="F6" s="33" t="s">
        <v>236</v>
      </c>
      <c r="G6" s="33" t="s">
        <v>237</v>
      </c>
      <c r="H6" s="33" t="s">
        <v>209</v>
      </c>
    </row>
    <row customHeight="true" ht="36" r="7">
      <c r="A7" s="33" t="s">
        <v>238</v>
      </c>
      <c r="B7" s="33" t="s">
        <v>239</v>
      </c>
      <c r="C7" s="33" t="s">
        <v>240</v>
      </c>
      <c r="D7" s="33" t="s">
        <v>241</v>
      </c>
      <c r="E7" s="34" t="s">
        <v>242</v>
      </c>
      <c r="F7" s="33" t="s">
        <v>243</v>
      </c>
      <c r="G7" s="33" t="s">
        <v>244</v>
      </c>
      <c r="H7" s="33" t="s">
        <v>209</v>
      </c>
    </row>
    <row customHeight="true" ht="36" r="8">
      <c r="A8" s="35" t="s">
        <v>245</v>
      </c>
      <c r="B8" s="35" t="s">
        <v>211</v>
      </c>
      <c r="C8" s="35" t="s">
        <v>246</v>
      </c>
      <c r="D8" s="35" t="s">
        <v>247</v>
      </c>
      <c r="E8" s="35" t="s">
        <v>248</v>
      </c>
      <c r="F8" s="35" t="s">
        <v>249</v>
      </c>
      <c r="G8" s="35" t="s">
        <v>216</v>
      </c>
      <c r="H8" s="35" t="s">
        <v>209</v>
      </c>
    </row>
    <row customHeight="true" ht="36" r="9">
      <c r="A9" s="35" t="s">
        <v>250</v>
      </c>
      <c r="B9" s="35" t="s">
        <v>251</v>
      </c>
      <c r="C9" s="35" t="s">
        <v>252</v>
      </c>
      <c r="D9" s="35" t="s">
        <v>253</v>
      </c>
      <c r="E9" s="35" t="s">
        <v>248</v>
      </c>
      <c r="F9" s="34" t="s">
        <v>254</v>
      </c>
      <c r="G9" s="34" t="s">
        <v>255</v>
      </c>
      <c r="H9" s="35" t="s">
        <v>209</v>
      </c>
    </row>
    <row customHeight="true" ht="36" r="10">
      <c r="A10" s="34" t="s">
        <v>250</v>
      </c>
      <c r="B10" s="34" t="s">
        <v>256</v>
      </c>
      <c r="C10" s="34" t="s">
        <v>257</v>
      </c>
      <c r="D10" s="34" t="s">
        <v>258</v>
      </c>
      <c r="E10" s="34" t="s">
        <v>259</v>
      </c>
      <c r="F10" s="34" t="s">
        <v>260</v>
      </c>
      <c r="G10" s="34" t="s">
        <v>261</v>
      </c>
      <c r="H10" s="34" t="s">
        <v>209</v>
      </c>
    </row>
    <row r="11">
      <c r="A11" s="34" t="s">
        <v>250</v>
      </c>
      <c r="B11" s="34" t="s">
        <v>203</v>
      </c>
      <c r="C11" s="34" t="s">
        <v>262</v>
      </c>
      <c r="D11" s="34" t="s">
        <v>263</v>
      </c>
      <c r="E11" s="34" t="s">
        <v>264</v>
      </c>
      <c r="F11" s="34" t="s">
        <v>265</v>
      </c>
      <c r="G11" s="34" t="s">
        <v>266</v>
      </c>
      <c r="H11" s="34" t="s">
        <v>209</v>
      </c>
    </row>
  </sheetData>
  <dataValidations count="1">
    <dataValidation allowBlank="true" errorStyle="stop" showErrorMessage="true" sqref="H2:H11" type="list">
      <formula1>"跟踪,处理中,关闭,升级,接受"</formula1>
    </dataValidation>
  </dataValidations>
  <picture r:id="rId1"/>
</worksheet>
</file>

<file path=xl/worksheets/sheet5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21"/>
    <col collapsed="false" customWidth="true" hidden="false" max="2" min="2" style="0" width="36"/>
    <col collapsed="false" customWidth="true" hidden="false" max="3" min="3" style="0" width="32"/>
    <col collapsed="false" customWidth="true" hidden="false" max="4" min="4" style="0" width="45"/>
    <col collapsed="false" customWidth="true" hidden="false" max="5" min="5" style="0" width="42"/>
  </cols>
  <sheetData>
    <row customHeight="true" ht="17" r="1">
      <c r="A1" s="36" t="s">
        <v>267</v>
      </c>
      <c r="B1" s="37" t="s">
        <v>268</v>
      </c>
      <c r="C1" s="37" t="s">
        <v>269</v>
      </c>
      <c r="D1" s="37" t="s">
        <v>270</v>
      </c>
      <c r="E1" s="38" t="s">
        <v>271</v>
      </c>
    </row>
    <row customHeight="true" ht="17" r="2">
      <c r="A2" s="39" t="s">
        <v>272</v>
      </c>
      <c r="B2" s="40" t="s">
        <v>273</v>
      </c>
      <c r="C2" s="40" t="s">
        <v>274</v>
      </c>
      <c r="D2" s="40" t="s">
        <v>275</v>
      </c>
      <c r="E2" s="41" t="s">
        <v>276</v>
      </c>
    </row>
    <row customHeight="true" ht="17" r="3">
      <c r="A3" s="39" t="s">
        <v>277</v>
      </c>
      <c r="B3" s="40" t="s">
        <v>278</v>
      </c>
      <c r="C3" s="40" t="s">
        <v>279</v>
      </c>
      <c r="D3" s="40" t="s">
        <v>280</v>
      </c>
      <c r="E3" s="41" t="s">
        <v>281</v>
      </c>
    </row>
    <row customHeight="true" ht="17" r="4">
      <c r="A4" s="39" t="s">
        <v>282</v>
      </c>
      <c r="B4" s="40" t="s">
        <v>283</v>
      </c>
      <c r="C4" s="40" t="s">
        <v>284</v>
      </c>
      <c r="D4" s="40" t="s">
        <v>285</v>
      </c>
      <c r="E4" s="41" t="s">
        <v>286</v>
      </c>
    </row>
    <row customHeight="true" ht="17" r="5">
      <c r="A5" s="39" t="s">
        <v>287</v>
      </c>
      <c r="B5" s="40" t="s">
        <v>288</v>
      </c>
      <c r="C5" s="40" t="s">
        <v>289</v>
      </c>
      <c r="D5" s="40" t="s">
        <v>290</v>
      </c>
      <c r="E5" s="41" t="s">
        <v>291</v>
      </c>
    </row>
    <row customHeight="true" ht="17" r="6">
      <c r="A6" s="39" t="s">
        <v>292</v>
      </c>
      <c r="B6" s="40" t="s">
        <v>293</v>
      </c>
      <c r="C6" s="40" t="s">
        <v>294</v>
      </c>
      <c r="D6" s="40" t="s">
        <v>295</v>
      </c>
      <c r="E6" s="41" t="s">
        <v>296</v>
      </c>
    </row>
    <row customHeight="true" ht="17" r="7">
      <c r="A7" s="39" t="s">
        <v>297</v>
      </c>
      <c r="B7" s="40" t="s">
        <v>298</v>
      </c>
      <c r="C7" s="40" t="s">
        <v>299</v>
      </c>
      <c r="D7" s="40" t="s">
        <v>300</v>
      </c>
      <c r="E7" s="41" t="s">
        <v>301</v>
      </c>
    </row>
    <row customHeight="true" ht="17" r="8">
      <c r="A8" s="39" t="s">
        <v>302</v>
      </c>
      <c r="B8" s="40" t="s">
        <v>303</v>
      </c>
      <c r="C8" s="40" t="s">
        <v>304</v>
      </c>
      <c r="D8" s="40" t="s">
        <v>305</v>
      </c>
      <c r="E8" s="41" t="s">
        <v>306</v>
      </c>
    </row>
    <row customHeight="true" ht="17" r="9">
      <c r="A9" s="39" t="s">
        <v>307</v>
      </c>
      <c r="B9" s="40" t="s">
        <v>308</v>
      </c>
      <c r="C9" s="40" t="s">
        <v>309</v>
      </c>
      <c r="D9" s="40" t="s">
        <v>310</v>
      </c>
      <c r="E9" s="41" t="s">
        <v>311</v>
      </c>
    </row>
    <row customHeight="true" ht="17" r="10">
      <c r="A10" s="39" t="s">
        <v>312</v>
      </c>
      <c r="B10" s="40" t="s">
        <v>313</v>
      </c>
      <c r="C10" s="40" t="s">
        <v>314</v>
      </c>
      <c r="D10" s="40" t="s">
        <v>315</v>
      </c>
      <c r="E10" s="41" t="s">
        <v>316</v>
      </c>
    </row>
    <row customHeight="true" ht="17" r="11">
      <c r="A11" s="42" t="s">
        <v>317</v>
      </c>
      <c r="B11" s="43" t="s">
        <v>318</v>
      </c>
      <c r="C11" s="43" t="s">
        <v>319</v>
      </c>
      <c r="D11" s="43" t="s">
        <v>320</v>
      </c>
      <c r="E11" s="44" t="s">
        <v>321</v>
      </c>
    </row>
  </sheetData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